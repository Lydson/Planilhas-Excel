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ygarcia\Documents\Excel\MY COMPLETED PROJECTS\"/>
    </mc:Choice>
  </mc:AlternateContent>
  <xr:revisionPtr revIDLastSave="0" documentId="13_ncr:1_{AD1ECDE6-82C9-450B-AF26-4FC843BD915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as a pagar" sheetId="1" r:id="rId1"/>
    <sheet name="Contas a receber" sheetId="2" r:id="rId2"/>
    <sheet name="Análise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8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5" i="2"/>
  <c r="F4" i="2"/>
  <c r="F4" i="1"/>
</calcChain>
</file>

<file path=xl/sharedStrings.xml><?xml version="1.0" encoding="utf-8"?>
<sst xmlns="http://schemas.openxmlformats.org/spreadsheetml/2006/main" count="290" uniqueCount="149">
  <si>
    <t>CONTAS A PAGAR</t>
  </si>
  <si>
    <t>CONTAS A RECEBER</t>
  </si>
  <si>
    <t>ANÁLISE</t>
  </si>
  <si>
    <t>DATA DE VENCIMENTO</t>
  </si>
  <si>
    <t>FORNECEDOR</t>
  </si>
  <si>
    <t>DESCRIÇÃO</t>
  </si>
  <si>
    <t>VALOR A PAGAR</t>
  </si>
  <si>
    <t>STATUS</t>
  </si>
  <si>
    <t>DATA DO PAGAMENTO</t>
  </si>
  <si>
    <t>TIPO DE PAGAMENTO</t>
  </si>
  <si>
    <t>CENTRO DE CUSTO</t>
  </si>
  <si>
    <t>TRANSFERÊNCIA</t>
  </si>
  <si>
    <t>ADMINISTRATIVO</t>
  </si>
  <si>
    <t>PIX</t>
  </si>
  <si>
    <t>PESSOAL</t>
  </si>
  <si>
    <t>CLIENTE</t>
  </si>
  <si>
    <t>CACAU PREMIUM LTDA</t>
  </si>
  <si>
    <t>Compra de cacau em grão</t>
  </si>
  <si>
    <t>BOLETO</t>
  </si>
  <si>
    <t>MORADIA</t>
  </si>
  <si>
    <t>EMBALAGENS SUL</t>
  </si>
  <si>
    <t>Embalagens para barras</t>
  </si>
  <si>
    <t>LOJA DO AÇÚCAR</t>
  </si>
  <si>
    <t>Açúcar refinado</t>
  </si>
  <si>
    <t>ALIMENTAÇÃO</t>
  </si>
  <si>
    <t>FORNO E CIA</t>
  </si>
  <si>
    <t>Manutenção do forno</t>
  </si>
  <si>
    <t>DÉBITO</t>
  </si>
  <si>
    <t>CONTA DE LUZ CELESC</t>
  </si>
  <si>
    <t>Energia elétrica fábrica</t>
  </si>
  <si>
    <t>ÁGUA FLORIPA</t>
  </si>
  <si>
    <t>Conta de água</t>
  </si>
  <si>
    <t>CHOCOMIX LOGÍSTICA</t>
  </si>
  <si>
    <t>Transporte de produtos</t>
  </si>
  <si>
    <t>TRANSPORTE</t>
  </si>
  <si>
    <t>OFFICE PAPÉIS</t>
  </si>
  <si>
    <t>Material de escritório</t>
  </si>
  <si>
    <t>MERCADO VEGAN</t>
  </si>
  <si>
    <t>Ingredientes veganos</t>
  </si>
  <si>
    <t>CRÉDITO</t>
  </si>
  <si>
    <t>LIMPEZA IDEAL</t>
  </si>
  <si>
    <t>Produtos de limpeza</t>
  </si>
  <si>
    <t>INTERNET FIBRA</t>
  </si>
  <si>
    <t>Internet do escritório</t>
  </si>
  <si>
    <t>MÁQUINA CHOCOBRASIL</t>
  </si>
  <si>
    <t>Manutenção de equipamentos</t>
  </si>
  <si>
    <t>EMPRESA DE SEGURANÇA</t>
  </si>
  <si>
    <t>Alarme e monitoramento</t>
  </si>
  <si>
    <t>TRANSPORTE DOCE</t>
  </si>
  <si>
    <t>Entrega de chocolates</t>
  </si>
  <si>
    <t>CONTA DE TELEFONE</t>
  </si>
  <si>
    <t>Plano empresarial</t>
  </si>
  <si>
    <t>GÁS INDUSTRIAL</t>
  </si>
  <si>
    <t>Reposição de gás</t>
  </si>
  <si>
    <t>EMPRESA DE CONTABILIDADE</t>
  </si>
  <si>
    <t>Serviços contábeis</t>
  </si>
  <si>
    <t>FUNCIONÁRIO - MARCOS</t>
  </si>
  <si>
    <t>Salário funcionário</t>
  </si>
  <si>
    <t>FUNCIONÁRIO - ANA</t>
  </si>
  <si>
    <t>Salário funcionária</t>
  </si>
  <si>
    <t>LOJA DE UNIFORMES</t>
  </si>
  <si>
    <t>Compra de uniformes</t>
  </si>
  <si>
    <t>GRÁFICA FLORIPA</t>
  </si>
  <si>
    <t>Impressão de etiquetas</t>
  </si>
  <si>
    <t>TRANSPORTE URBANO</t>
  </si>
  <si>
    <t>Passes mensais</t>
  </si>
  <si>
    <t>EMPRESA DE LIMPEZA</t>
  </si>
  <si>
    <t>Serviço de limpeza</t>
  </si>
  <si>
    <t>MERCADO CENTRAL</t>
  </si>
  <si>
    <t>Compras de frutas secas</t>
  </si>
  <si>
    <t>CACAU EXPORT</t>
  </si>
  <si>
    <t>Cacau orgânico</t>
  </si>
  <si>
    <t>EMPRESA DE PUBLICIDADE</t>
  </si>
  <si>
    <t>Campanha de Páscoa</t>
  </si>
  <si>
    <t>LOJA DE INFORMÁTICA</t>
  </si>
  <si>
    <t>Mouse e teclado novos</t>
  </si>
  <si>
    <t>TRANSPORTADORA RÁPIDA</t>
  </si>
  <si>
    <t>Frete de matéria-prima</t>
  </si>
  <si>
    <t>CONTADOR JOÃO</t>
  </si>
  <si>
    <t>Honorários contábeis</t>
  </si>
  <si>
    <t>FUNCIONÁRIO - CARLOS</t>
  </si>
  <si>
    <t>FUNCIONÁRIO - JULIANA</t>
  </si>
  <si>
    <t>CAFÉ EXPRESSO</t>
  </si>
  <si>
    <t>Café e suprimentos</t>
  </si>
  <si>
    <t>Faxina mensal</t>
  </si>
  <si>
    <t>Reposição de caixas</t>
  </si>
  <si>
    <t>Compra de cacau fino</t>
  </si>
  <si>
    <t>Açúcar mascavo</t>
  </si>
  <si>
    <t>FUNCIONÁRIO - MARINA</t>
  </si>
  <si>
    <t>EMPRESA DE SEGUROS</t>
  </si>
  <si>
    <t>Seguro de equipamentos</t>
  </si>
  <si>
    <t>BANCO CENTRAL</t>
  </si>
  <si>
    <t>Taxa bancária mensal</t>
  </si>
  <si>
    <t>Padaria Pão Doce</t>
  </si>
  <si>
    <t>Venda de barras artesanais</t>
  </si>
  <si>
    <t>Supermercado Bom Gosto</t>
  </si>
  <si>
    <t>Fornecimento de chocolates finos</t>
  </si>
  <si>
    <t>Cafeteria Aroma Café</t>
  </si>
  <si>
    <t>Lote de trufas veganas</t>
  </si>
  <si>
    <t>Loja Delícias Naturais</t>
  </si>
  <si>
    <t>Barras de cacau 70%</t>
  </si>
  <si>
    <t>Empório Sabor Real</t>
  </si>
  <si>
    <t>Chocolates premium 500g</t>
  </si>
  <si>
    <t>Restaurante Flor de Cacau</t>
  </si>
  <si>
    <t>Sobremesas com chocolate</t>
  </si>
  <si>
    <t>Loja Doce Vida</t>
  </si>
  <si>
    <t>Caixas de bombons sortidos</t>
  </si>
  <si>
    <t>Confeitaria Bela Dona</t>
  </si>
  <si>
    <t>Fornecimento de cobertura</t>
  </si>
  <si>
    <t>Supermercado Central</t>
  </si>
  <si>
    <t>Chocolates para Páscoa</t>
  </si>
  <si>
    <t>Empório Vegano Sul</t>
  </si>
  <si>
    <t>Chocolates veganos 80%</t>
  </si>
  <si>
    <t>Café Colonial Floripa</t>
  </si>
  <si>
    <t>Bombons personalizados</t>
  </si>
  <si>
    <t>Doces Encantos</t>
  </si>
  <si>
    <t>Fornecimento de barras sortidas</t>
  </si>
  <si>
    <t>Mercado Popular</t>
  </si>
  <si>
    <t>Chocolates em tabletes</t>
  </si>
  <si>
    <t>Restaurante Doce Sabor</t>
  </si>
  <si>
    <t>Sobremesas com cacau</t>
  </si>
  <si>
    <t>Loja Natural Mix</t>
  </si>
  <si>
    <t>Chocolates sem açúcar</t>
  </si>
  <si>
    <t>Supermercado Mar Azul</t>
  </si>
  <si>
    <t>Bombons e trufas</t>
  </si>
  <si>
    <t>Empório Doce Páscoa</t>
  </si>
  <si>
    <t>Fornecimento de ovos 70%</t>
  </si>
  <si>
    <t>Loja Cacau &amp; Cia</t>
  </si>
  <si>
    <t>Barras sortidas</t>
  </si>
  <si>
    <t>Café do Porto</t>
  </si>
  <si>
    <t>Lote de trufas recheadas</t>
  </si>
  <si>
    <t>Empório Brasil Gourmet</t>
  </si>
  <si>
    <t>Chocolates para eventos</t>
  </si>
  <si>
    <t>Total Geral</t>
  </si>
  <si>
    <t>2024</t>
  </si>
  <si>
    <t>2025</t>
  </si>
  <si>
    <t>2026</t>
  </si>
  <si>
    <t>ATRASADO</t>
  </si>
  <si>
    <t>PAGO</t>
  </si>
  <si>
    <t>PENDENTE</t>
  </si>
  <si>
    <t>jan</t>
  </si>
  <si>
    <t>fev</t>
  </si>
  <si>
    <t>mar</t>
  </si>
  <si>
    <t>out</t>
  </si>
  <si>
    <t>abr</t>
  </si>
  <si>
    <t>Contas a pagar e receber criam novas linhas sozinhas, mas aqui precisamos atualizar as tabelas dinâmicas caso sejam inseridos novos dados.</t>
  </si>
  <si>
    <t/>
  </si>
  <si>
    <t>DATA</t>
  </si>
  <si>
    <t xml:space="preserve">CONTAS A PAGAR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</si>
</sst>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20" fontId="0" fillId="0" borderId="0" xfId="0" applyNumberFormat="1"/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8" fontId="3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62"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ont>
        <color theme="0"/>
      </font>
    </dxf>
    <dxf>
      <font>
        <color theme="0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2" Type="http://schemas.openxmlformats.org/officeDocument/2006/relationships/hyperlink" Target="#'Contas a receber'!A1"/><Relationship Id="rId1" Type="http://schemas.openxmlformats.org/officeDocument/2006/relationships/hyperlink" Target="#'Contas a pagar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2" Type="http://schemas.openxmlformats.org/officeDocument/2006/relationships/hyperlink" Target="#'Contas a receber'!A1"/><Relationship Id="rId1" Type="http://schemas.openxmlformats.org/officeDocument/2006/relationships/hyperlink" Target="#'Contas a pagar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2" Type="http://schemas.openxmlformats.org/officeDocument/2006/relationships/hyperlink" Target="#'Contas a receber'!A1"/><Relationship Id="rId1" Type="http://schemas.openxmlformats.org/officeDocument/2006/relationships/hyperlink" Target="#'Contas a paga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1381125</xdr:colOff>
      <xdr:row>0</xdr:row>
      <xdr:rowOff>133350</xdr:rowOff>
    </xdr:from>
    <xdr:to>
      <xdr:col>3</xdr:col>
      <xdr:colOff>1685925</xdr:colOff>
      <xdr:row>0</xdr:row>
      <xdr:rowOff>581025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DDA5F-52BF-BF7A-E54F-B804BD4D3380}"/>
            </a:ext>
          </a:extLst>
        </xdr:cNvPr>
        <xdr:cNvSpPr/>
      </xdr:nvSpPr>
      <xdr:spPr>
        <a:xfrm>
          <a:off x="3352800" y="133350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CONTAS A PAGAR</a:t>
          </a:r>
        </a:p>
      </xdr:txBody>
    </xdr:sp>
    <xdr:clientData/>
  </xdr:twoCellAnchor>
  <xdr:twoCellAnchor editAs="absolute">
    <xdr:from>
      <xdr:col>4</xdr:col>
      <xdr:colOff>19050</xdr:colOff>
      <xdr:row>0</xdr:row>
      <xdr:rowOff>142875</xdr:rowOff>
    </xdr:from>
    <xdr:to>
      <xdr:col>5</xdr:col>
      <xdr:colOff>800100</xdr:colOff>
      <xdr:row>0</xdr:row>
      <xdr:rowOff>590550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2A7EB0-6370-6300-DC54-264F9B903F58}"/>
            </a:ext>
          </a:extLst>
        </xdr:cNvPr>
        <xdr:cNvSpPr/>
      </xdr:nvSpPr>
      <xdr:spPr>
        <a:xfrm>
          <a:off x="5715000" y="142875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CONTAS A RECEBER</a:t>
          </a:r>
        </a:p>
      </xdr:txBody>
    </xdr:sp>
    <xdr:clientData/>
  </xdr:twoCellAnchor>
  <xdr:twoCellAnchor editAs="absolute">
    <xdr:from>
      <xdr:col>6</xdr:col>
      <xdr:colOff>219075</xdr:colOff>
      <xdr:row>0</xdr:row>
      <xdr:rowOff>152400</xdr:rowOff>
    </xdr:from>
    <xdr:to>
      <xdr:col>7</xdr:col>
      <xdr:colOff>590550</xdr:colOff>
      <xdr:row>0</xdr:row>
      <xdr:rowOff>600075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76B327-9521-F553-8FB1-F02D9AE9DC2A}"/>
            </a:ext>
          </a:extLst>
        </xdr:cNvPr>
        <xdr:cNvSpPr/>
      </xdr:nvSpPr>
      <xdr:spPr>
        <a:xfrm>
          <a:off x="8077200" y="152400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ANÁLISE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1358713</xdr:colOff>
      <xdr:row>0</xdr:row>
      <xdr:rowOff>133350</xdr:rowOff>
    </xdr:from>
    <xdr:to>
      <xdr:col>3</xdr:col>
      <xdr:colOff>1662393</xdr:colOff>
      <xdr:row>0</xdr:row>
      <xdr:rowOff>581025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F0F0E-5ACC-4E64-99D0-5E44AE0E08E2}"/>
            </a:ext>
          </a:extLst>
        </xdr:cNvPr>
        <xdr:cNvSpPr/>
      </xdr:nvSpPr>
      <xdr:spPr>
        <a:xfrm>
          <a:off x="3352800" y="133350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CONTAS A PAGAR</a:t>
          </a:r>
        </a:p>
      </xdr:txBody>
    </xdr:sp>
    <xdr:clientData/>
  </xdr:twoCellAnchor>
  <xdr:twoCellAnchor editAs="absolute">
    <xdr:from>
      <xdr:col>3</xdr:col>
      <xdr:colOff>1900518</xdr:colOff>
      <xdr:row>0</xdr:row>
      <xdr:rowOff>142875</xdr:rowOff>
    </xdr:from>
    <xdr:to>
      <xdr:col>5</xdr:col>
      <xdr:colOff>475689</xdr:colOff>
      <xdr:row>0</xdr:row>
      <xdr:rowOff>590550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6BFC50-DB95-4444-B16B-1FB49987A9A0}"/>
            </a:ext>
          </a:extLst>
        </xdr:cNvPr>
        <xdr:cNvSpPr/>
      </xdr:nvSpPr>
      <xdr:spPr>
        <a:xfrm>
          <a:off x="5715000" y="142875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CONTAS A RECEBER</a:t>
          </a:r>
        </a:p>
      </xdr:txBody>
    </xdr:sp>
    <xdr:clientData/>
  </xdr:twoCellAnchor>
  <xdr:twoCellAnchor editAs="absolute">
    <xdr:from>
      <xdr:col>5</xdr:col>
      <xdr:colOff>713814</xdr:colOff>
      <xdr:row>0</xdr:row>
      <xdr:rowOff>152400</xdr:rowOff>
    </xdr:from>
    <xdr:to>
      <xdr:col>7</xdr:col>
      <xdr:colOff>266139</xdr:colOff>
      <xdr:row>0</xdr:row>
      <xdr:rowOff>600075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3258ED-EF31-47A4-B718-F31B40F47F15}"/>
            </a:ext>
          </a:extLst>
        </xdr:cNvPr>
        <xdr:cNvSpPr/>
      </xdr:nvSpPr>
      <xdr:spPr>
        <a:xfrm>
          <a:off x="8077200" y="152400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ANÁLISE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609600</xdr:colOff>
      <xdr:row>0</xdr:row>
      <xdr:rowOff>133350</xdr:rowOff>
    </xdr:from>
    <xdr:to>
      <xdr:col>6</xdr:col>
      <xdr:colOff>76200</xdr:colOff>
      <xdr:row>0</xdr:row>
      <xdr:rowOff>581025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5055A5-6933-4DA0-AF68-B860979466C7}"/>
            </a:ext>
          </a:extLst>
        </xdr:cNvPr>
        <xdr:cNvSpPr/>
      </xdr:nvSpPr>
      <xdr:spPr>
        <a:xfrm>
          <a:off x="3352800" y="133350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CONTAS A PAGAR</a:t>
          </a:r>
        </a:p>
      </xdr:txBody>
    </xdr:sp>
    <xdr:clientData/>
  </xdr:twoCellAnchor>
  <xdr:twoCellAnchor editAs="absolute">
    <xdr:from>
      <xdr:col>6</xdr:col>
      <xdr:colOff>314325</xdr:colOff>
      <xdr:row>0</xdr:row>
      <xdr:rowOff>142875</xdr:rowOff>
    </xdr:from>
    <xdr:to>
      <xdr:col>8</xdr:col>
      <xdr:colOff>666750</xdr:colOff>
      <xdr:row>0</xdr:row>
      <xdr:rowOff>590550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B2559F-E544-4B14-A6DC-8EAC1E3A8157}"/>
            </a:ext>
          </a:extLst>
        </xdr:cNvPr>
        <xdr:cNvSpPr/>
      </xdr:nvSpPr>
      <xdr:spPr>
        <a:xfrm>
          <a:off x="5715000" y="142875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CONTAS A RECEBER</a:t>
          </a:r>
        </a:p>
      </xdr:txBody>
    </xdr:sp>
    <xdr:clientData/>
  </xdr:twoCellAnchor>
  <xdr:twoCellAnchor editAs="absolute">
    <xdr:from>
      <xdr:col>8</xdr:col>
      <xdr:colOff>904875</xdr:colOff>
      <xdr:row>0</xdr:row>
      <xdr:rowOff>152400</xdr:rowOff>
    </xdr:from>
    <xdr:to>
      <xdr:col>10</xdr:col>
      <xdr:colOff>571500</xdr:colOff>
      <xdr:row>0</xdr:row>
      <xdr:rowOff>600075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D3AE0E-5047-4A2E-A2CF-761D55D22329}"/>
            </a:ext>
          </a:extLst>
        </xdr:cNvPr>
        <xdr:cNvSpPr/>
      </xdr:nvSpPr>
      <xdr:spPr>
        <a:xfrm>
          <a:off x="8077200" y="152400"/>
          <a:ext cx="2124075" cy="447675"/>
        </a:xfrm>
        <a:prstGeom prst="roundRect">
          <a:avLst>
            <a:gd name="adj" fmla="val 5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ANÁLISE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CIA Lydson" refreshedDate="45948.095055324076" createdVersion="8" refreshedVersion="8" minRefreshableVersion="3" recordCount="41" xr:uid="{2F38023D-CB40-48C9-B687-D89FC2A98A1F}">
  <cacheSource type="worksheet">
    <worksheetSource name="Tabela1"/>
  </cacheSource>
  <cacheFields count="11">
    <cacheField name="DATA DE VENCIMENTO" numFmtId="14">
      <sharedItems containsSemiMixedTypes="0" containsNonDate="0" containsDate="1" containsString="0" minDate="2024-01-10T00:00:00" maxDate="2026-04-16T00:00:00" count="41">
        <d v="2024-01-10T00:00:00"/>
        <d v="2026-01-05T00:00:00"/>
        <d v="2026-01-08T00:00:00"/>
        <d v="2026-01-10T00:00:00"/>
        <d v="2025-10-17T00:00:00"/>
        <d v="2026-01-15T00:00:00"/>
        <d v="2026-01-17T00:00:00"/>
        <d v="2026-01-20T00:00:00"/>
        <d v="2026-01-23T00:00:00"/>
        <d v="2026-01-25T00:00:00"/>
        <d v="2026-01-28T00:00:00"/>
        <d v="2026-01-31T00:00:00"/>
        <d v="2026-02-03T00:00:00"/>
        <d v="2026-02-05T00:00:00"/>
        <d v="2026-02-08T00:00:00"/>
        <d v="2026-02-10T00:00:00"/>
        <d v="2026-02-12T00:00:00"/>
        <d v="2024-02-14T00:00:00"/>
        <d v="2026-02-17T00:00:00"/>
        <d v="2026-02-20T00:00:00"/>
        <d v="2026-02-23T00:00:00"/>
        <d v="2026-02-25T00:00:00"/>
        <d v="2026-02-28T00:00:00"/>
        <d v="2026-03-03T00:00:00"/>
        <d v="2026-03-05T00:00:00"/>
        <d v="2026-03-08T00:00:00"/>
        <d v="2026-03-10T00:00:00"/>
        <d v="2026-03-12T00:00:00"/>
        <d v="2026-03-15T00:00:00"/>
        <d v="2026-03-18T00:00:00"/>
        <d v="2026-03-20T00:00:00"/>
        <d v="2026-03-22T00:00:00"/>
        <d v="2026-03-25T00:00:00"/>
        <d v="2026-03-27T00:00:00"/>
        <d v="2026-03-29T00:00:00"/>
        <d v="2026-04-02T00:00:00"/>
        <d v="2026-04-05T00:00:00"/>
        <d v="2026-04-08T00:00:00"/>
        <d v="2026-04-10T00:00:00"/>
        <d v="2026-04-12T00:00:00"/>
        <d v="2026-04-15T00:00:00"/>
      </sharedItems>
      <fieldGroup par="10"/>
    </cacheField>
    <cacheField name="FORNECEDOR" numFmtId="0">
      <sharedItems/>
    </cacheField>
    <cacheField name="DESCRIÇÃO" numFmtId="0">
      <sharedItems/>
    </cacheField>
    <cacheField name="VALOR A PAGAR" numFmtId="0">
      <sharedItems containsSemiMixedTypes="0" containsString="0" containsNumber="1" containsInteger="1" minValue="150" maxValue="3400"/>
    </cacheField>
    <cacheField name="STATUS" numFmtId="0">
      <sharedItems count="3">
        <s v="ATRASADO"/>
        <s v="PAGO"/>
        <s v="PENDENTE"/>
      </sharedItems>
    </cacheField>
    <cacheField name="DATA DO PAGAMENTO" numFmtId="0">
      <sharedItems containsNonDate="0" containsDate="1" containsString="0" containsBlank="1" minDate="2026-01-06T00:00:00" maxDate="2026-04-16T00:00:00"/>
    </cacheField>
    <cacheField name="TIPO DE PAGAMENTO" numFmtId="0">
      <sharedItems containsBlank="1"/>
    </cacheField>
    <cacheField name="CENTRO DE CUSTO" numFmtId="0">
      <sharedItems/>
    </cacheField>
    <cacheField name="Meses (DATA DE VENCIMENTO)" numFmtId="0" databaseField="0">
      <fieldGroup base="0">
        <rangePr groupBy="months" startDate="2024-01-10T00:00:00" endDate="2026-04-16T00:00:00"/>
        <groupItems count="14">
          <s v="&lt;10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4/2026"/>
        </groupItems>
      </fieldGroup>
    </cacheField>
    <cacheField name="Trimestres (DATA DE VENCIMENTO)" numFmtId="0" databaseField="0">
      <fieldGroup base="0">
        <rangePr groupBy="quarters" startDate="2024-01-10T00:00:00" endDate="2026-04-16T00:00:00"/>
        <groupItems count="6">
          <s v="&lt;10/01/2024"/>
          <s v="Trim1"/>
          <s v="Trim2"/>
          <s v="Trim3"/>
          <s v="Trim4"/>
          <s v="&gt;16/04/2026"/>
        </groupItems>
      </fieldGroup>
    </cacheField>
    <cacheField name="Anos (DATA DE VENCIMENTO)" numFmtId="0" databaseField="0">
      <fieldGroup base="0">
        <rangePr groupBy="years" startDate="2024-01-10T00:00:00" endDate="2026-04-16T00:00:00"/>
        <groupItems count="5">
          <s v="&lt;10/01/2024"/>
          <s v="2024"/>
          <s v="2025"/>
          <s v="2026"/>
          <s v="&gt;16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CIA Lydson" refreshedDate="45948.096591550922" createdVersion="8" refreshedVersion="8" minRefreshableVersion="3" recordCount="20" xr:uid="{D246B1E8-A01E-435E-9198-677740097130}">
  <cacheSource type="worksheet">
    <worksheetSource name="Tabela13"/>
  </cacheSource>
  <cacheFields count="11">
    <cacheField name="DATA DE VENCIMENTO" numFmtId="14">
      <sharedItems containsSemiMixedTypes="0" containsNonDate="0" containsDate="1" containsString="0" minDate="2025-01-05T00:00:00" maxDate="2026-02-21T00:00:00" count="20">
        <d v="2026-01-03T00:00:00"/>
        <d v="2025-01-05T00:00:00"/>
        <d v="2026-01-08T00:00:00"/>
        <d v="2026-01-10T00:00:00"/>
        <d v="2026-01-12T00:00:00"/>
        <d v="2026-01-15T00:00:00"/>
        <d v="2026-01-18T00:00:00"/>
        <d v="2025-01-20T00:00:00"/>
        <d v="2026-01-22T00:00:00"/>
        <d v="2026-01-25T00:00:00"/>
        <d v="2026-01-28T00:00:00"/>
        <d v="2026-01-30T00:00:00"/>
        <d v="2026-02-02T00:00:00"/>
        <d v="2026-02-05T00:00:00"/>
        <d v="2026-02-07T00:00:00"/>
        <d v="2026-02-10T00:00:00"/>
        <d v="2026-02-12T00:00:00"/>
        <d v="2026-02-15T00:00:00"/>
        <d v="2026-02-18T00:00:00"/>
        <d v="2026-02-20T00:00:00"/>
      </sharedItems>
      <fieldGroup par="10"/>
    </cacheField>
    <cacheField name="CLIENTE" numFmtId="0">
      <sharedItems/>
    </cacheField>
    <cacheField name="DESCRIÇÃO" numFmtId="0">
      <sharedItems/>
    </cacheField>
    <cacheField name="VALOR A PAGAR" numFmtId="8">
      <sharedItems containsSemiMixedTypes="0" containsString="0" containsNumber="1" containsInteger="1" minValue="950" maxValue="4800"/>
    </cacheField>
    <cacheField name="STATUS" numFmtId="0">
      <sharedItems count="3">
        <s v="PAGO"/>
        <s v="ATRASADO"/>
        <s v="PENDENTE"/>
      </sharedItems>
    </cacheField>
    <cacheField name="DATA DO PAGAMENTO" numFmtId="0">
      <sharedItems containsNonDate="0" containsDate="1" containsString="0" containsBlank="1" minDate="2026-01-03T00:00:00" maxDate="2026-02-17T00:00:00"/>
    </cacheField>
    <cacheField name="TIPO DE PAGAMENTO" numFmtId="0">
      <sharedItems containsBlank="1"/>
    </cacheField>
    <cacheField name="CENTRO DE CUSTO" numFmtId="0">
      <sharedItems/>
    </cacheField>
    <cacheField name="Meses (DATA DE VENCIMENTO)" numFmtId="0" databaseField="0">
      <fieldGroup base="0">
        <rangePr groupBy="months" startDate="2025-01-05T00:00:00" endDate="2026-02-21T00:00:00"/>
        <groupItems count="14">
          <s v="&lt;05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02/2026"/>
        </groupItems>
      </fieldGroup>
    </cacheField>
    <cacheField name="Trimestres (DATA DE VENCIMENTO)" numFmtId="0" databaseField="0">
      <fieldGroup base="0">
        <rangePr groupBy="quarters" startDate="2025-01-05T00:00:00" endDate="2026-02-21T00:00:00"/>
        <groupItems count="6">
          <s v="&lt;05/01/2025"/>
          <s v="Trim1"/>
          <s v="Trim2"/>
          <s v="Trim3"/>
          <s v="Trim4"/>
          <s v="&gt;21/02/2026"/>
        </groupItems>
      </fieldGroup>
    </cacheField>
    <cacheField name="Anos (DATA DE VENCIMENTO)" numFmtId="0" databaseField="0">
      <fieldGroup base="0">
        <rangePr groupBy="years" startDate="2025-01-05T00:00:00" endDate="2026-02-21T00:00:00"/>
        <groupItems count="4">
          <s v="&lt;05/01/2025"/>
          <s v="2025"/>
          <s v="2026"/>
          <s v="&gt;2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CHOCOMIX LOGÍSTICA"/>
    <s v="Transporte de produtos"/>
    <n v="780"/>
    <x v="0"/>
    <m/>
    <m/>
    <s v="TRANSPORTE"/>
  </r>
  <r>
    <x v="1"/>
    <s v="CACAU PREMIUM LTDA"/>
    <s v="Compra de cacau em grão"/>
    <n v="3250"/>
    <x v="1"/>
    <d v="2026-01-06T00:00:00"/>
    <s v="BOLETO"/>
    <s v="MORADIA"/>
  </r>
  <r>
    <x v="2"/>
    <s v="EMBALAGENS SUL"/>
    <s v="Embalagens para barras"/>
    <n v="1200"/>
    <x v="1"/>
    <d v="2026-01-09T00:00:00"/>
    <s v="TRANSFERÊNCIA"/>
    <s v="ADMINISTRATIVO"/>
  </r>
  <r>
    <x v="3"/>
    <s v="LOJA DO AÇÚCAR"/>
    <s v="Açúcar refinado"/>
    <n v="890"/>
    <x v="1"/>
    <d v="2026-01-10T00:00:00"/>
    <s v="PIX"/>
    <s v="ALIMENTAÇÃO"/>
  </r>
  <r>
    <x v="4"/>
    <s v="FORNO E CIA"/>
    <s v="Manutenção do forno"/>
    <n v="620"/>
    <x v="0"/>
    <m/>
    <s v="DÉBITO"/>
    <s v="ADMINISTRATIVO"/>
  </r>
  <r>
    <x v="5"/>
    <s v="CONTA DE LUZ CELESC"/>
    <s v="Energia elétrica fábrica"/>
    <n v="1430"/>
    <x v="1"/>
    <d v="2026-01-16T00:00:00"/>
    <s v="BOLETO"/>
    <s v="MORADIA"/>
  </r>
  <r>
    <x v="6"/>
    <s v="ÁGUA FLORIPA"/>
    <s v="Conta de água"/>
    <n v="310"/>
    <x v="1"/>
    <d v="2026-01-18T00:00:00"/>
    <s v="DÉBITO"/>
    <s v="MORADIA"/>
  </r>
  <r>
    <x v="7"/>
    <s v="CHOCOMIX LOGÍSTICA"/>
    <s v="Transporte de produtos"/>
    <n v="780"/>
    <x v="2"/>
    <m/>
    <m/>
    <s v="TRANSPORTE"/>
  </r>
  <r>
    <x v="8"/>
    <s v="OFFICE PAPÉIS"/>
    <s v="Material de escritório"/>
    <n v="230"/>
    <x v="1"/>
    <d v="2026-01-24T00:00:00"/>
    <s v="DÉBITO"/>
    <s v="ADMINISTRATIVO"/>
  </r>
  <r>
    <x v="9"/>
    <s v="MERCADO VEGAN"/>
    <s v="Ingredientes veganos"/>
    <n v="540"/>
    <x v="2"/>
    <m/>
    <s v="CRÉDITO"/>
    <s v="ALIMENTAÇÃO"/>
  </r>
  <r>
    <x v="10"/>
    <s v="LIMPEZA IDEAL"/>
    <s v="Produtos de limpeza"/>
    <n v="260"/>
    <x v="2"/>
    <m/>
    <s v="PIX"/>
    <s v="ADMINISTRATIVO"/>
  </r>
  <r>
    <x v="11"/>
    <s v="INTERNET FIBRA"/>
    <s v="Internet do escritório"/>
    <n v="199"/>
    <x v="1"/>
    <d v="2026-02-01T00:00:00"/>
    <s v="DÉBITO"/>
    <s v="ADMINISTRATIVO"/>
  </r>
  <r>
    <x v="12"/>
    <s v="MÁQUINA CHOCOBRASIL"/>
    <s v="Manutenção de equipamentos"/>
    <n v="1900"/>
    <x v="1"/>
    <d v="2026-02-04T00:00:00"/>
    <s v="TRANSFERÊNCIA"/>
    <s v="ADMINISTRATIVO"/>
  </r>
  <r>
    <x v="13"/>
    <s v="EMPRESA DE SEGURANÇA"/>
    <s v="Alarme e monitoramento"/>
    <n v="480"/>
    <x v="1"/>
    <d v="2026-02-06T00:00:00"/>
    <s v="BOLETO"/>
    <s v="ADMINISTRATIVO"/>
  </r>
  <r>
    <x v="14"/>
    <s v="TRANSPORTE DOCE"/>
    <s v="Entrega de chocolates"/>
    <n v="650"/>
    <x v="2"/>
    <m/>
    <s v="PIX"/>
    <s v="TRANSPORTE"/>
  </r>
  <r>
    <x v="15"/>
    <s v="CONTA DE TELEFONE"/>
    <s v="Plano empresarial"/>
    <n v="350"/>
    <x v="1"/>
    <d v="2026-02-11T00:00:00"/>
    <s v="DÉBITO"/>
    <s v="ADMINISTRATIVO"/>
  </r>
  <r>
    <x v="16"/>
    <s v="GÁS INDUSTRIAL"/>
    <s v="Reposição de gás"/>
    <n v="700"/>
    <x v="1"/>
    <d v="2026-02-13T00:00:00"/>
    <s v="BOLETO"/>
    <s v="MORADIA"/>
  </r>
  <r>
    <x v="17"/>
    <s v="EMPRESA DE CONTABILIDADE"/>
    <s v="Serviços contábeis"/>
    <n v="1200"/>
    <x v="0"/>
    <m/>
    <m/>
    <s v="ADMINISTRATIVO"/>
  </r>
  <r>
    <x v="18"/>
    <s v="FUNCIONÁRIO - MARCOS"/>
    <s v="Salário funcionário"/>
    <n v="2500"/>
    <x v="1"/>
    <d v="2026-02-17T00:00:00"/>
    <s v="PIX"/>
    <s v="PESSOAL"/>
  </r>
  <r>
    <x v="19"/>
    <s v="FUNCIONÁRIO - ANA"/>
    <s v="Salário funcionária"/>
    <n v="2500"/>
    <x v="1"/>
    <d v="2026-02-20T00:00:00"/>
    <s v="PIX"/>
    <s v="PESSOAL"/>
  </r>
  <r>
    <x v="20"/>
    <s v="LOJA DE UNIFORMES"/>
    <s v="Compra de uniformes"/>
    <n v="370"/>
    <x v="2"/>
    <m/>
    <s v="CRÉDITO"/>
    <s v="ADMINISTRATIVO"/>
  </r>
  <r>
    <x v="21"/>
    <s v="GRÁFICA FLORIPA"/>
    <s v="Impressão de etiquetas"/>
    <n v="410"/>
    <x v="1"/>
    <d v="2026-02-26T00:00:00"/>
    <s v="TRANSFERÊNCIA"/>
    <s v="ADMINISTRATIVO"/>
  </r>
  <r>
    <x v="22"/>
    <s v="TRANSPORTE URBANO"/>
    <s v="Passes mensais"/>
    <n v="180"/>
    <x v="2"/>
    <m/>
    <s v="DÉBITO"/>
    <s v="TRANSPORTE"/>
  </r>
  <r>
    <x v="23"/>
    <s v="EMPRESA DE LIMPEZA"/>
    <s v="Serviço de limpeza"/>
    <n v="520"/>
    <x v="1"/>
    <d v="2026-03-04T00:00:00"/>
    <s v="PIX"/>
    <s v="ADMINISTRATIVO"/>
  </r>
  <r>
    <x v="24"/>
    <s v="MERCADO CENTRAL"/>
    <s v="Compras de frutas secas"/>
    <n v="860"/>
    <x v="2"/>
    <m/>
    <s v="CRÉDITO"/>
    <s v="ALIMENTAÇÃO"/>
  </r>
  <r>
    <x v="25"/>
    <s v="CACAU EXPORT"/>
    <s v="Cacau orgânico"/>
    <n v="2950"/>
    <x v="1"/>
    <d v="2026-03-09T00:00:00"/>
    <s v="BOLETO"/>
    <s v="ALIMENTAÇÃO"/>
  </r>
  <r>
    <x v="26"/>
    <s v="EMPRESA DE PUBLICIDADE"/>
    <s v="Campanha de Páscoa"/>
    <n v="3400"/>
    <x v="1"/>
    <d v="2026-03-11T00:00:00"/>
    <s v="TRANSFERÊNCIA"/>
    <s v="ADMINISTRATIVO"/>
  </r>
  <r>
    <x v="27"/>
    <s v="LOJA DE INFORMÁTICA"/>
    <s v="Mouse e teclado novos"/>
    <n v="370"/>
    <x v="2"/>
    <m/>
    <s v="PIX"/>
    <s v="ADMINISTRATIVO"/>
  </r>
  <r>
    <x v="28"/>
    <s v="TRANSPORTADORA RÁPIDA"/>
    <s v="Frete de matéria-prima"/>
    <n v="950"/>
    <x v="2"/>
    <m/>
    <s v="BOLETO"/>
    <s v="TRANSPORTE"/>
  </r>
  <r>
    <x v="29"/>
    <s v="CONTADOR JOÃO"/>
    <s v="Honorários contábeis"/>
    <n v="1000"/>
    <x v="1"/>
    <d v="2026-03-21T00:00:00"/>
    <s v="PIX"/>
    <s v="ADMINISTRATIVO"/>
  </r>
  <r>
    <x v="30"/>
    <s v="FUNCIONÁRIO - CARLOS"/>
    <s v="Salário funcionário"/>
    <n v="2500"/>
    <x v="2"/>
    <m/>
    <s v="PIX"/>
    <s v="PESSOAL"/>
  </r>
  <r>
    <x v="31"/>
    <s v="FUNCIONÁRIO - JULIANA"/>
    <s v="Salário funcionária"/>
    <n v="2500"/>
    <x v="1"/>
    <d v="2026-03-23T00:00:00"/>
    <s v="PIX"/>
    <s v="PESSOAL"/>
  </r>
  <r>
    <x v="32"/>
    <s v="CAFÉ EXPRESSO"/>
    <s v="Café e suprimentos"/>
    <n v="190"/>
    <x v="2"/>
    <m/>
    <s v="DÉBITO"/>
    <s v="ADMINISTRATIVO"/>
  </r>
  <r>
    <x v="33"/>
    <s v="EMPRESA DE LIMPEZA"/>
    <s v="Faxina mensal"/>
    <n v="450"/>
    <x v="2"/>
    <m/>
    <s v="TRANSFERÊNCIA"/>
    <s v="ADMINISTRATIVO"/>
  </r>
  <r>
    <x v="34"/>
    <s v="EMBALAGENS SUL"/>
    <s v="Reposição de caixas"/>
    <n v="1100"/>
    <x v="2"/>
    <m/>
    <s v="BOLETO"/>
    <s v="ADMINISTRATIVO"/>
  </r>
  <r>
    <x v="35"/>
    <s v="CACAU PREMIUM LTDA"/>
    <s v="Compra de cacau fino"/>
    <n v="3000"/>
    <x v="1"/>
    <d v="2026-04-03T00:00:00"/>
    <s v="BOLETO"/>
    <s v="ALIMENTAÇÃO"/>
  </r>
  <r>
    <x v="36"/>
    <s v="LOJA DO AÇÚCAR"/>
    <s v="Açúcar mascavo"/>
    <n v="950"/>
    <x v="2"/>
    <m/>
    <s v="PIX"/>
    <s v="ALIMENTAÇÃO"/>
  </r>
  <r>
    <x v="37"/>
    <s v="CONTA DE LUZ CELESC"/>
    <s v="Energia elétrica fábrica"/>
    <n v="1480"/>
    <x v="1"/>
    <d v="2026-04-09T00:00:00"/>
    <s v="BOLETO"/>
    <s v="MORADIA"/>
  </r>
  <r>
    <x v="38"/>
    <s v="FUNCIONÁRIO - MARINA"/>
    <s v="Salário funcionária"/>
    <n v="2500"/>
    <x v="1"/>
    <d v="2026-04-10T00:00:00"/>
    <s v="PIX"/>
    <s v="PESSOAL"/>
  </r>
  <r>
    <x v="39"/>
    <s v="EMPRESA DE SEGUROS"/>
    <s v="Seguro de equipamentos"/>
    <n v="680"/>
    <x v="2"/>
    <m/>
    <s v="DÉBITO"/>
    <s v="ADMINISTRATIVO"/>
  </r>
  <r>
    <x v="40"/>
    <s v="BANCO CENTRAL"/>
    <s v="Taxa bancária mensal"/>
    <n v="150"/>
    <x v="1"/>
    <d v="2026-04-15T00:00:00"/>
    <s v="DÉBITO"/>
    <s v="ADMINISTRATIV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adaria Pão Doce"/>
    <s v="Venda de barras artesanais"/>
    <n v="1200"/>
    <x v="0"/>
    <d v="2026-01-03T00:00:00"/>
    <s v="PIX"/>
    <s v="ALIMENTAÇÃO"/>
  </r>
  <r>
    <x v="1"/>
    <s v="Supermercado Bom Gosto"/>
    <s v="Fornecimento de chocolates finos"/>
    <n v="2800"/>
    <x v="1"/>
    <m/>
    <m/>
    <s v="ADMINISTRATIVO"/>
  </r>
  <r>
    <x v="2"/>
    <s v="Cafeteria Aroma Café"/>
    <s v="Lote de trufas veganas"/>
    <n v="950"/>
    <x v="0"/>
    <d v="2026-01-08T00:00:00"/>
    <s v="PIX"/>
    <s v="ALIMENTAÇÃO"/>
  </r>
  <r>
    <x v="3"/>
    <s v="Loja Delícias Naturais"/>
    <s v="Barras de cacau 70%"/>
    <n v="1100"/>
    <x v="2"/>
    <m/>
    <s v="BOLETO"/>
    <s v="ALIMENTAÇÃO"/>
  </r>
  <r>
    <x v="4"/>
    <s v="Empório Sabor Real"/>
    <s v="Chocolates premium 500g"/>
    <n v="1600"/>
    <x v="2"/>
    <m/>
    <s v="CRÉDITO"/>
    <s v="ALIMENTAÇÃO"/>
  </r>
  <r>
    <x v="5"/>
    <s v="Restaurante Flor de Cacau"/>
    <s v="Sobremesas com chocolate"/>
    <n v="2300"/>
    <x v="0"/>
    <d v="2026-01-15T00:00:00"/>
    <s v="PIX"/>
    <s v="ADMINISTRATIVO"/>
  </r>
  <r>
    <x v="6"/>
    <s v="Loja Doce Vida"/>
    <s v="Caixas de bombons sortidos"/>
    <n v="1750"/>
    <x v="0"/>
    <d v="2026-01-19T00:00:00"/>
    <s v="DÉBITO"/>
    <s v="ALIMENTAÇÃO"/>
  </r>
  <r>
    <x v="7"/>
    <s v="Confeitaria Bela Dona"/>
    <s v="Fornecimento de cobertura"/>
    <n v="2100"/>
    <x v="1"/>
    <m/>
    <m/>
    <s v="ALIMENTAÇÃO"/>
  </r>
  <r>
    <x v="8"/>
    <s v="Supermercado Central"/>
    <s v="Chocolates para Páscoa"/>
    <n v="4800"/>
    <x v="2"/>
    <m/>
    <s v="TRANSFERÊNCIA"/>
    <s v="ADMINISTRATIVO"/>
  </r>
  <r>
    <x v="9"/>
    <s v="Empório Vegano Sul"/>
    <s v="Chocolates veganos 80%"/>
    <n v="1450"/>
    <x v="0"/>
    <d v="2026-01-26T00:00:00"/>
    <s v="PIX"/>
    <s v="ALIMENTAÇÃO"/>
  </r>
  <r>
    <x v="10"/>
    <s v="Café Colonial Floripa"/>
    <s v="Bombons personalizados"/>
    <n v="1250"/>
    <x v="2"/>
    <m/>
    <s v="DÉBITO"/>
    <s v="ALIMENTAÇÃO"/>
  </r>
  <r>
    <x v="11"/>
    <s v="Doces Encantos"/>
    <s v="Fornecimento de barras sortidas"/>
    <n v="1600"/>
    <x v="0"/>
    <d v="2026-01-30T00:00:00"/>
    <s v="PIX"/>
    <s v="ADMINISTRATIVO"/>
  </r>
  <r>
    <x v="12"/>
    <s v="Mercado Popular"/>
    <s v="Chocolates em tabletes"/>
    <n v="1900"/>
    <x v="2"/>
    <m/>
    <s v="BOLETO"/>
    <s v="ALIMENTAÇÃO"/>
  </r>
  <r>
    <x v="13"/>
    <s v="Restaurante Doce Sabor"/>
    <s v="Sobremesas com cacau"/>
    <n v="2200"/>
    <x v="0"/>
    <d v="2026-02-05T00:00:00"/>
    <s v="CRÉDITO"/>
    <s v="ADMINISTRATIVO"/>
  </r>
  <r>
    <x v="14"/>
    <s v="Loja Natural Mix"/>
    <s v="Chocolates sem açúcar"/>
    <n v="1050"/>
    <x v="0"/>
    <d v="2026-02-08T00:00:00"/>
    <s v="PIX"/>
    <s v="ALIMENTAÇÃO"/>
  </r>
  <r>
    <x v="15"/>
    <s v="Supermercado Mar Azul"/>
    <s v="Bombons e trufas"/>
    <n v="3600"/>
    <x v="2"/>
    <m/>
    <s v="TRANSFERÊNCIA"/>
    <s v="ADMINISTRATIVO"/>
  </r>
  <r>
    <x v="16"/>
    <s v="Empório Doce Páscoa"/>
    <s v="Fornecimento de ovos 70%"/>
    <n v="4300"/>
    <x v="2"/>
    <m/>
    <s v="BOLETO"/>
    <s v="ALIMENTAÇÃO"/>
  </r>
  <r>
    <x v="17"/>
    <s v="Loja Cacau &amp; Cia"/>
    <s v="Barras sortidas"/>
    <n v="1800"/>
    <x v="0"/>
    <d v="2026-02-16T00:00:00"/>
    <s v="PIX"/>
    <s v="ALIMENTAÇÃO"/>
  </r>
  <r>
    <x v="18"/>
    <s v="Café do Porto"/>
    <s v="Lote de trufas recheadas"/>
    <n v="1400"/>
    <x v="2"/>
    <m/>
    <s v="DÉBITO"/>
    <s v="ALIMENTAÇÃO"/>
  </r>
  <r>
    <x v="19"/>
    <s v="Empório Brasil Gourmet"/>
    <s v="Chocolates para eventos"/>
    <n v="3000"/>
    <x v="2"/>
    <m/>
    <s v="TRANSFERÊNCIA"/>
    <s v="ADMINISTRA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6C7EA-F68E-47EF-A065-2A15695011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ATA" colHeaderCaption="">
  <location ref="B3:F15" firstHeaderRow="1" firstDataRow="2" firstDataCol="1"/>
  <pivotFields count="11">
    <pivotField axis="axisRow" numFmtId="14" showAll="0">
      <items count="42">
        <item x="0"/>
        <item x="17"/>
        <item x="4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10"/>
    <field x="8"/>
    <field x="0"/>
  </rowFields>
  <rowItems count="11">
    <i>
      <x v="1"/>
    </i>
    <i r="1">
      <x v="1"/>
    </i>
    <i r="1">
      <x v="2"/>
    </i>
    <i>
      <x v="2"/>
    </i>
    <i r="1">
      <x v="10"/>
    </i>
    <i>
      <x v="3"/>
    </i>
    <i r="1">
      <x v="1"/>
    </i>
    <i r="1">
      <x v="2"/>
    </i>
    <i r="1">
      <x v="3"/>
    </i>
    <i r="1"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NTAS A RECEBER" fld="3" baseField="0" baseItem="0" numFmtId="44"/>
  </dataFields>
  <formats count="8">
    <format dxfId="32">
      <pivotArea dataOnly="0" outline="0" fieldPosition="0">
        <references count="1">
          <reference field="4" count="1">
            <x v="0"/>
          </reference>
        </references>
      </pivotArea>
    </format>
    <format dxfId="31">
      <pivotArea dataOnly="0" outline="0" fieldPosition="0">
        <references count="1">
          <reference field="4" count="1">
            <x v="0"/>
          </reference>
        </references>
      </pivotArea>
    </format>
    <format dxfId="30">
      <pivotArea dataOnly="0" outline="0" fieldPosition="0">
        <references count="1">
          <reference field="4" count="1">
            <x v="1"/>
          </reference>
        </references>
      </pivotArea>
    </format>
    <format dxfId="29">
      <pivotArea outline="0" collapsedLevelsAreSubtotals="1" fieldPosition="0">
        <references count="1">
          <reference field="4" count="1" selected="0">
            <x v="2"/>
          </reference>
        </references>
      </pivotArea>
    </format>
    <format dxfId="28">
      <pivotArea grandCol="1" outline="0" collapsedLevelsAreSubtotals="1" fieldPosition="0"/>
    </format>
    <format dxfId="27">
      <pivotArea dataOnly="0" labelOnly="1" fieldPosition="0">
        <references count="1">
          <reference field="4" count="1">
            <x v="2"/>
          </reference>
        </references>
      </pivotArea>
    </format>
    <format dxfId="26">
      <pivotArea dataOnly="0" labelOnly="1" grandCol="1" outline="0" fieldPosition="0"/>
    </format>
    <format dxfId="0">
      <pivotArea outline="0" collapsedLevelsAreSubtotals="1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87322-F0B6-496E-ADB3-554A21CCA00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ATA" colHeaderCaption="">
  <location ref="H3:L10" firstHeaderRow="1" firstDataRow="2" firstDataCol="1"/>
  <pivotFields count="11">
    <pivotField axis="axisRow" numFmtId="14" showAll="0">
      <items count="21">
        <item x="1"/>
        <item x="7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numFmtId="8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0"/>
    <field x="8"/>
    <field x="0"/>
  </rowFields>
  <rowItems count="6">
    <i>
      <x v="1"/>
    </i>
    <i r="1">
      <x v="1"/>
    </i>
    <i>
      <x v="2"/>
    </i>
    <i r="1">
      <x v="1"/>
    </i>
    <i r="1"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NTAS A PAGAR " fld="3" baseField="0" baseItem="0" numFmtId="8"/>
  </dataFields>
  <formats count="4">
    <format dxfId="52">
      <pivotArea grandRow="1" outline="0" collapsedLevelsAreSubtotals="1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Col="1" outline="0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3FA6B-7F9F-4913-8958-22679876CDF3}" name="Tabela1" displayName="Tabela1" ref="B3:I44" totalsRowShown="0" headerRowDxfId="61" dataDxfId="60">
  <autoFilter ref="B3:I44" xr:uid="{D623FA6B-7F9F-4913-8958-22679876CDF3}"/>
  <tableColumns count="8">
    <tableColumn id="1" xr3:uid="{88A711A6-8D1B-4D99-B965-82512BF4E8AD}" name="DATA DE VENCIMENTO" dataDxfId="59"/>
    <tableColumn id="2" xr3:uid="{6B7A484E-1343-4988-B3B2-1D9C256A57FA}" name="FORNECEDOR" dataDxfId="58"/>
    <tableColumn id="3" xr3:uid="{F4CCD09A-8DC8-43E3-BF6A-E1224DDD4C40}" name="DESCRIÇÃO" dataDxfId="57"/>
    <tableColumn id="4" xr3:uid="{9E232C6B-9417-46CB-8158-E83C5BF46222}" name="VALOR A PAGAR" dataDxfId="56" dataCellStyle="Moeda"/>
    <tableColumn id="5" xr3:uid="{18B9EF8C-253C-4329-BD8B-C399545BF460}" name="STATUS" dataDxfId="45">
      <calculatedColumnFormula>IF(G4&lt;&gt;"","PAGO",IF(B4&lt;TODAY(),"ATRASADO","PENDENTE"))</calculatedColumnFormula>
    </tableColumn>
    <tableColumn id="6" xr3:uid="{93E0C57B-B4E2-471B-8FB7-344F6153BE9A}" name="DATA DO PAGAMENTO" dataDxfId="43"/>
    <tableColumn id="7" xr3:uid="{92DF9194-2ED8-434C-A0CB-91667DA37FCF}" name="TIPO DE PAGAMENTO" dataDxfId="44"/>
    <tableColumn id="8" xr3:uid="{7CA3A240-EAE4-4F9A-94F0-9B21358943B5}" name="CENTRO DE CUSTO" dataDxfId="5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D54BA8-9CB3-4D83-A80D-8D96AE62DA9A}" name="Tabela13" displayName="Tabela13" ref="B3:I23" totalsRowShown="0" headerRowDxfId="54" dataDxfId="53">
  <autoFilter ref="B3:I23" xr:uid="{2DD54BA8-9CB3-4D83-A80D-8D96AE62DA9A}"/>
  <tableColumns count="8">
    <tableColumn id="1" xr3:uid="{95063226-8FE6-480F-8A55-4328BDF0D7F9}" name="DATA DE VENCIMENTO" dataDxfId="38"/>
    <tableColumn id="2" xr3:uid="{F1FFA4B2-3612-42E5-9F13-A90AA847CDD2}" name="CLIENTE" dataDxfId="37"/>
    <tableColumn id="3" xr3:uid="{D1EEB2B2-1E23-4152-94F5-A33C5401C5AF}" name="DESCRIÇÃO" dataDxfId="35"/>
    <tableColumn id="4" xr3:uid="{1C83C385-EA05-4790-95DA-481F04113099}" name="VALOR A PAGAR" dataDxfId="36" dataCellStyle="Moeda"/>
    <tableColumn id="5" xr3:uid="{9BDAEB0B-35F8-4A16-9DDC-638332D19A46}" name="STATUS" dataDxfId="42">
      <calculatedColumnFormula>IF(G4&lt;&gt;"","PAGO",IF(B4&lt;TODAY(),"ATRASADO","PENDENTE"))</calculatedColumnFormula>
    </tableColumn>
    <tableColumn id="6" xr3:uid="{9C83FA21-5544-421B-A7FA-4B2AB86FC8F7}" name="DATA DO PAGAMENTO" dataDxfId="41"/>
    <tableColumn id="7" xr3:uid="{74EF1F8F-F667-4217-AFC6-D4B005C9256F}" name="TIPO DE PAGAMENTO" dataDxfId="40"/>
    <tableColumn id="8" xr3:uid="{7238915B-4876-4553-8DFF-C958288EE771}" name="CENTRO DE CUSTO" dataDxfId="39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showGridLines="0" zoomScale="85" zoomScaleNormal="85" workbookViewId="0">
      <selection activeCell="G44" sqref="G4:G44"/>
    </sheetView>
  </sheetViews>
  <sheetFormatPr defaultRowHeight="15" x14ac:dyDescent="0.25"/>
  <cols>
    <col min="1" max="1" width="3.42578125" customWidth="1"/>
    <col min="2" max="2" width="26.140625" bestFit="1" customWidth="1"/>
    <col min="3" max="3" width="27.28515625" bestFit="1" customWidth="1"/>
    <col min="4" max="4" width="28.5703125" bestFit="1" customWidth="1"/>
    <col min="5" max="5" width="20.140625" bestFit="1" customWidth="1"/>
    <col min="6" max="6" width="12.28515625" bestFit="1" customWidth="1"/>
    <col min="7" max="7" width="26.28515625" bestFit="1" customWidth="1"/>
    <col min="8" max="8" width="25" bestFit="1" customWidth="1"/>
    <col min="9" max="9" width="22.140625" bestFit="1" customWidth="1"/>
  </cols>
  <sheetData>
    <row r="1" spans="1:9" s="2" customFormat="1" ht="57" customHeight="1" x14ac:dyDescent="0.25">
      <c r="A1" s="3" t="s">
        <v>0</v>
      </c>
    </row>
    <row r="2" spans="1:9" x14ac:dyDescent="0.25">
      <c r="A2" s="4"/>
    </row>
    <row r="3" spans="1:9" x14ac:dyDescent="0.25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B4" s="5">
        <v>45301</v>
      </c>
      <c r="C4" s="1" t="s">
        <v>32</v>
      </c>
      <c r="D4" s="1" t="s">
        <v>33</v>
      </c>
      <c r="E4" s="6">
        <v>780</v>
      </c>
      <c r="F4" s="1" t="str">
        <f ca="1">IF(G4&lt;&gt;"","PAGO",IF(B4&lt;TODAY(),"ATRASADO","PENDENTE"))</f>
        <v>ATRASADO</v>
      </c>
      <c r="G4" s="5"/>
      <c r="H4" s="1"/>
      <c r="I4" s="1" t="s">
        <v>34</v>
      </c>
    </row>
    <row r="5" spans="1:9" x14ac:dyDescent="0.25">
      <c r="B5" s="5">
        <v>46027</v>
      </c>
      <c r="C5" s="1" t="s">
        <v>16</v>
      </c>
      <c r="D5" s="1" t="s">
        <v>17</v>
      </c>
      <c r="E5" s="6">
        <v>3250</v>
      </c>
      <c r="F5" s="1" t="str">
        <f t="shared" ref="F5:F44" ca="1" si="0">IF(G5&lt;&gt;"","PAGO",IF(B5&lt;TODAY(),"ATRASADO","PENDENTE"))</f>
        <v>PAGO</v>
      </c>
      <c r="G5" s="11">
        <v>46028</v>
      </c>
      <c r="H5" s="1" t="s">
        <v>18</v>
      </c>
      <c r="I5" s="1" t="s">
        <v>19</v>
      </c>
    </row>
    <row r="6" spans="1:9" x14ac:dyDescent="0.25">
      <c r="B6" s="5">
        <v>46030</v>
      </c>
      <c r="C6" s="1" t="s">
        <v>20</v>
      </c>
      <c r="D6" s="1" t="s">
        <v>21</v>
      </c>
      <c r="E6" s="6">
        <v>1200</v>
      </c>
      <c r="F6" s="1" t="str">
        <f t="shared" ca="1" si="0"/>
        <v>PAGO</v>
      </c>
      <c r="G6" s="11">
        <v>46031</v>
      </c>
      <c r="H6" s="1" t="s">
        <v>11</v>
      </c>
      <c r="I6" s="1" t="s">
        <v>12</v>
      </c>
    </row>
    <row r="7" spans="1:9" x14ac:dyDescent="0.25">
      <c r="B7" s="5">
        <v>46032</v>
      </c>
      <c r="C7" s="1" t="s">
        <v>22</v>
      </c>
      <c r="D7" s="1" t="s">
        <v>23</v>
      </c>
      <c r="E7" s="6">
        <v>890</v>
      </c>
      <c r="F7" s="1" t="str">
        <f t="shared" ca="1" si="0"/>
        <v>PAGO</v>
      </c>
      <c r="G7" s="11">
        <v>46032</v>
      </c>
      <c r="H7" s="1" t="s">
        <v>13</v>
      </c>
      <c r="I7" s="1" t="s">
        <v>24</v>
      </c>
    </row>
    <row r="8" spans="1:9" x14ac:dyDescent="0.25">
      <c r="B8" s="5">
        <v>45947</v>
      </c>
      <c r="C8" s="1" t="s">
        <v>25</v>
      </c>
      <c r="D8" s="1" t="s">
        <v>26</v>
      </c>
      <c r="E8" s="6">
        <v>620</v>
      </c>
      <c r="F8" s="1" t="str">
        <f ca="1">IF(G8&lt;&gt;"","PAGO",IF(B8&lt;TODAY(),"ATRASADO","PENDENTE"))</f>
        <v>ATRASADO</v>
      </c>
      <c r="G8" s="11"/>
      <c r="H8" s="1" t="s">
        <v>27</v>
      </c>
      <c r="I8" s="1" t="s">
        <v>12</v>
      </c>
    </row>
    <row r="9" spans="1:9" x14ac:dyDescent="0.25">
      <c r="B9" s="5">
        <v>46037</v>
      </c>
      <c r="C9" s="1" t="s">
        <v>28</v>
      </c>
      <c r="D9" s="1" t="s">
        <v>29</v>
      </c>
      <c r="E9" s="6">
        <v>1430</v>
      </c>
      <c r="F9" s="1" t="str">
        <f t="shared" ca="1" si="0"/>
        <v>PAGO</v>
      </c>
      <c r="G9" s="11">
        <v>46038</v>
      </c>
      <c r="H9" s="1" t="s">
        <v>18</v>
      </c>
      <c r="I9" s="1" t="s">
        <v>19</v>
      </c>
    </row>
    <row r="10" spans="1:9" x14ac:dyDescent="0.25">
      <c r="B10" s="5">
        <v>46039</v>
      </c>
      <c r="C10" s="1" t="s">
        <v>30</v>
      </c>
      <c r="D10" s="1" t="s">
        <v>31</v>
      </c>
      <c r="E10" s="6">
        <v>310</v>
      </c>
      <c r="F10" s="1" t="str">
        <f t="shared" ca="1" si="0"/>
        <v>PAGO</v>
      </c>
      <c r="G10" s="11">
        <v>46040</v>
      </c>
      <c r="H10" s="1" t="s">
        <v>27</v>
      </c>
      <c r="I10" s="1" t="s">
        <v>19</v>
      </c>
    </row>
    <row r="11" spans="1:9" x14ac:dyDescent="0.25">
      <c r="B11" s="5">
        <v>46042</v>
      </c>
      <c r="C11" s="1" t="s">
        <v>32</v>
      </c>
      <c r="D11" s="1" t="s">
        <v>33</v>
      </c>
      <c r="E11" s="6">
        <v>780</v>
      </c>
      <c r="F11" s="1" t="str">
        <f t="shared" ca="1" si="0"/>
        <v>PENDENTE</v>
      </c>
      <c r="G11" s="12"/>
      <c r="H11" s="1"/>
      <c r="I11" s="1" t="s">
        <v>34</v>
      </c>
    </row>
    <row r="12" spans="1:9" x14ac:dyDescent="0.25">
      <c r="B12" s="5">
        <v>46045</v>
      </c>
      <c r="C12" s="1" t="s">
        <v>35</v>
      </c>
      <c r="D12" s="1" t="s">
        <v>36</v>
      </c>
      <c r="E12" s="6">
        <v>230</v>
      </c>
      <c r="F12" s="1" t="str">
        <f t="shared" ca="1" si="0"/>
        <v>PAGO</v>
      </c>
      <c r="G12" s="11">
        <v>46046</v>
      </c>
      <c r="H12" s="1" t="s">
        <v>27</v>
      </c>
      <c r="I12" s="1" t="s">
        <v>12</v>
      </c>
    </row>
    <row r="13" spans="1:9" x14ac:dyDescent="0.25">
      <c r="B13" s="5">
        <v>46047</v>
      </c>
      <c r="C13" s="1" t="s">
        <v>37</v>
      </c>
      <c r="D13" s="1" t="s">
        <v>38</v>
      </c>
      <c r="E13" s="6">
        <v>540</v>
      </c>
      <c r="F13" s="1" t="str">
        <f t="shared" ca="1" si="0"/>
        <v>PENDENTE</v>
      </c>
      <c r="G13" s="12"/>
      <c r="H13" s="1" t="s">
        <v>39</v>
      </c>
      <c r="I13" s="1" t="s">
        <v>24</v>
      </c>
    </row>
    <row r="14" spans="1:9" x14ac:dyDescent="0.25">
      <c r="B14" s="5">
        <v>46050</v>
      </c>
      <c r="C14" s="1" t="s">
        <v>40</v>
      </c>
      <c r="D14" s="1" t="s">
        <v>41</v>
      </c>
      <c r="E14" s="6">
        <v>260</v>
      </c>
      <c r="F14" s="1" t="str">
        <f t="shared" ca="1" si="0"/>
        <v>PENDENTE</v>
      </c>
      <c r="G14" s="12"/>
      <c r="H14" s="1" t="s">
        <v>13</v>
      </c>
      <c r="I14" s="1" t="s">
        <v>12</v>
      </c>
    </row>
    <row r="15" spans="1:9" x14ac:dyDescent="0.25">
      <c r="B15" s="5">
        <v>46053</v>
      </c>
      <c r="C15" s="1" t="s">
        <v>42</v>
      </c>
      <c r="D15" s="1" t="s">
        <v>43</v>
      </c>
      <c r="E15" s="6">
        <v>199</v>
      </c>
      <c r="F15" s="1" t="str">
        <f t="shared" ca="1" si="0"/>
        <v>PAGO</v>
      </c>
      <c r="G15" s="11">
        <v>46054</v>
      </c>
      <c r="H15" s="1" t="s">
        <v>27</v>
      </c>
      <c r="I15" s="1" t="s">
        <v>12</v>
      </c>
    </row>
    <row r="16" spans="1:9" x14ac:dyDescent="0.25">
      <c r="B16" s="5">
        <v>46056</v>
      </c>
      <c r="C16" s="1" t="s">
        <v>44</v>
      </c>
      <c r="D16" s="1" t="s">
        <v>45</v>
      </c>
      <c r="E16" s="6">
        <v>1900</v>
      </c>
      <c r="F16" s="1" t="str">
        <f t="shared" ca="1" si="0"/>
        <v>PAGO</v>
      </c>
      <c r="G16" s="11">
        <v>46057</v>
      </c>
      <c r="H16" s="1" t="s">
        <v>11</v>
      </c>
      <c r="I16" s="1" t="s">
        <v>12</v>
      </c>
    </row>
    <row r="17" spans="2:9" x14ac:dyDescent="0.25">
      <c r="B17" s="5">
        <v>46058</v>
      </c>
      <c r="C17" s="1" t="s">
        <v>46</v>
      </c>
      <c r="D17" s="1" t="s">
        <v>47</v>
      </c>
      <c r="E17" s="6">
        <v>480</v>
      </c>
      <c r="F17" s="1" t="str">
        <f t="shared" ca="1" si="0"/>
        <v>PAGO</v>
      </c>
      <c r="G17" s="11">
        <v>46059</v>
      </c>
      <c r="H17" s="1" t="s">
        <v>18</v>
      </c>
      <c r="I17" s="1" t="s">
        <v>12</v>
      </c>
    </row>
    <row r="18" spans="2:9" x14ac:dyDescent="0.25">
      <c r="B18" s="5">
        <v>46061</v>
      </c>
      <c r="C18" s="1" t="s">
        <v>48</v>
      </c>
      <c r="D18" s="1" t="s">
        <v>49</v>
      </c>
      <c r="E18" s="6">
        <v>650</v>
      </c>
      <c r="F18" s="1" t="str">
        <f t="shared" ca="1" si="0"/>
        <v>PENDENTE</v>
      </c>
      <c r="G18" s="12"/>
      <c r="H18" s="1" t="s">
        <v>13</v>
      </c>
      <c r="I18" s="1" t="s">
        <v>34</v>
      </c>
    </row>
    <row r="19" spans="2:9" x14ac:dyDescent="0.25">
      <c r="B19" s="5">
        <v>46063</v>
      </c>
      <c r="C19" s="1" t="s">
        <v>50</v>
      </c>
      <c r="D19" s="1" t="s">
        <v>51</v>
      </c>
      <c r="E19" s="6">
        <v>350</v>
      </c>
      <c r="F19" s="1" t="str">
        <f t="shared" ca="1" si="0"/>
        <v>PAGO</v>
      </c>
      <c r="G19" s="11">
        <v>46064</v>
      </c>
      <c r="H19" s="1" t="s">
        <v>27</v>
      </c>
      <c r="I19" s="1" t="s">
        <v>12</v>
      </c>
    </row>
    <row r="20" spans="2:9" x14ac:dyDescent="0.25">
      <c r="B20" s="5">
        <v>46065</v>
      </c>
      <c r="C20" s="1" t="s">
        <v>52</v>
      </c>
      <c r="D20" s="1" t="s">
        <v>53</v>
      </c>
      <c r="E20" s="6">
        <v>700</v>
      </c>
      <c r="F20" s="1" t="str">
        <f t="shared" ca="1" si="0"/>
        <v>PAGO</v>
      </c>
      <c r="G20" s="11">
        <v>46066</v>
      </c>
      <c r="H20" s="1" t="s">
        <v>18</v>
      </c>
      <c r="I20" s="1" t="s">
        <v>19</v>
      </c>
    </row>
    <row r="21" spans="2:9" x14ac:dyDescent="0.25">
      <c r="B21" s="5">
        <v>45336</v>
      </c>
      <c r="C21" s="1" t="s">
        <v>54</v>
      </c>
      <c r="D21" s="1" t="s">
        <v>55</v>
      </c>
      <c r="E21" s="6">
        <v>1200</v>
      </c>
      <c r="F21" s="1" t="str">
        <f t="shared" ca="1" si="0"/>
        <v>ATRASADO</v>
      </c>
      <c r="G21" s="11"/>
      <c r="H21" s="1"/>
      <c r="I21" s="1" t="s">
        <v>12</v>
      </c>
    </row>
    <row r="22" spans="2:9" x14ac:dyDescent="0.25">
      <c r="B22" s="5">
        <v>46070</v>
      </c>
      <c r="C22" s="1" t="s">
        <v>56</v>
      </c>
      <c r="D22" s="1" t="s">
        <v>57</v>
      </c>
      <c r="E22" s="6">
        <v>2500</v>
      </c>
      <c r="F22" s="1" t="str">
        <f t="shared" ca="1" si="0"/>
        <v>PAGO</v>
      </c>
      <c r="G22" s="11">
        <v>46070</v>
      </c>
      <c r="H22" s="1" t="s">
        <v>13</v>
      </c>
      <c r="I22" s="1" t="s">
        <v>14</v>
      </c>
    </row>
    <row r="23" spans="2:9" x14ac:dyDescent="0.25">
      <c r="B23" s="5">
        <v>46073</v>
      </c>
      <c r="C23" s="1" t="s">
        <v>58</v>
      </c>
      <c r="D23" s="1" t="s">
        <v>59</v>
      </c>
      <c r="E23" s="6">
        <v>2500</v>
      </c>
      <c r="F23" s="1" t="str">
        <f t="shared" ca="1" si="0"/>
        <v>PAGO</v>
      </c>
      <c r="G23" s="11">
        <v>46073</v>
      </c>
      <c r="H23" s="1" t="s">
        <v>13</v>
      </c>
      <c r="I23" s="1" t="s">
        <v>14</v>
      </c>
    </row>
    <row r="24" spans="2:9" x14ac:dyDescent="0.25">
      <c r="B24" s="5">
        <v>46076</v>
      </c>
      <c r="C24" s="1" t="s">
        <v>60</v>
      </c>
      <c r="D24" s="1" t="s">
        <v>61</v>
      </c>
      <c r="E24" s="6">
        <v>370</v>
      </c>
      <c r="F24" s="1" t="str">
        <f t="shared" ca="1" si="0"/>
        <v>PENDENTE</v>
      </c>
      <c r="G24" s="12"/>
      <c r="H24" s="1" t="s">
        <v>39</v>
      </c>
      <c r="I24" s="1" t="s">
        <v>12</v>
      </c>
    </row>
    <row r="25" spans="2:9" x14ac:dyDescent="0.25">
      <c r="B25" s="5">
        <v>46078</v>
      </c>
      <c r="C25" s="1" t="s">
        <v>62</v>
      </c>
      <c r="D25" s="1" t="s">
        <v>63</v>
      </c>
      <c r="E25" s="6">
        <v>410</v>
      </c>
      <c r="F25" s="1" t="str">
        <f t="shared" ca="1" si="0"/>
        <v>PAGO</v>
      </c>
      <c r="G25" s="11">
        <v>46079</v>
      </c>
      <c r="H25" s="1" t="s">
        <v>11</v>
      </c>
      <c r="I25" s="1" t="s">
        <v>12</v>
      </c>
    </row>
    <row r="26" spans="2:9" x14ac:dyDescent="0.25">
      <c r="B26" s="5">
        <v>46081</v>
      </c>
      <c r="C26" s="1" t="s">
        <v>64</v>
      </c>
      <c r="D26" s="1" t="s">
        <v>65</v>
      </c>
      <c r="E26" s="6">
        <v>180</v>
      </c>
      <c r="F26" s="1" t="str">
        <f t="shared" ca="1" si="0"/>
        <v>PENDENTE</v>
      </c>
      <c r="G26" s="12"/>
      <c r="H26" s="1" t="s">
        <v>27</v>
      </c>
      <c r="I26" s="1" t="s">
        <v>34</v>
      </c>
    </row>
    <row r="27" spans="2:9" x14ac:dyDescent="0.25">
      <c r="B27" s="5">
        <v>46084</v>
      </c>
      <c r="C27" s="1" t="s">
        <v>66</v>
      </c>
      <c r="D27" s="1" t="s">
        <v>67</v>
      </c>
      <c r="E27" s="6">
        <v>520</v>
      </c>
      <c r="F27" s="1" t="str">
        <f t="shared" ca="1" si="0"/>
        <v>PAGO</v>
      </c>
      <c r="G27" s="11">
        <v>46085</v>
      </c>
      <c r="H27" s="1" t="s">
        <v>13</v>
      </c>
      <c r="I27" s="1" t="s">
        <v>12</v>
      </c>
    </row>
    <row r="28" spans="2:9" x14ac:dyDescent="0.25">
      <c r="B28" s="5">
        <v>46086</v>
      </c>
      <c r="C28" s="1" t="s">
        <v>68</v>
      </c>
      <c r="D28" s="1" t="s">
        <v>69</v>
      </c>
      <c r="E28" s="6">
        <v>860</v>
      </c>
      <c r="F28" s="1" t="str">
        <f t="shared" ca="1" si="0"/>
        <v>PENDENTE</v>
      </c>
      <c r="G28" s="12"/>
      <c r="H28" s="1" t="s">
        <v>39</v>
      </c>
      <c r="I28" s="1" t="s">
        <v>24</v>
      </c>
    </row>
    <row r="29" spans="2:9" x14ac:dyDescent="0.25">
      <c r="B29" s="5">
        <v>46089</v>
      </c>
      <c r="C29" s="1" t="s">
        <v>70</v>
      </c>
      <c r="D29" s="1" t="s">
        <v>71</v>
      </c>
      <c r="E29" s="6">
        <v>2950</v>
      </c>
      <c r="F29" s="1" t="str">
        <f t="shared" ca="1" si="0"/>
        <v>PAGO</v>
      </c>
      <c r="G29" s="11">
        <v>46090</v>
      </c>
      <c r="H29" s="1" t="s">
        <v>18</v>
      </c>
      <c r="I29" s="1" t="s">
        <v>24</v>
      </c>
    </row>
    <row r="30" spans="2:9" x14ac:dyDescent="0.25">
      <c r="B30" s="5">
        <v>46091</v>
      </c>
      <c r="C30" s="1" t="s">
        <v>72</v>
      </c>
      <c r="D30" s="1" t="s">
        <v>73</v>
      </c>
      <c r="E30" s="6">
        <v>3400</v>
      </c>
      <c r="F30" s="1" t="str">
        <f t="shared" ca="1" si="0"/>
        <v>PAGO</v>
      </c>
      <c r="G30" s="11">
        <v>46092</v>
      </c>
      <c r="H30" s="1" t="s">
        <v>11</v>
      </c>
      <c r="I30" s="1" t="s">
        <v>12</v>
      </c>
    </row>
    <row r="31" spans="2:9" x14ac:dyDescent="0.25">
      <c r="B31" s="5">
        <v>46093</v>
      </c>
      <c r="C31" s="1" t="s">
        <v>74</v>
      </c>
      <c r="D31" s="1" t="s">
        <v>75</v>
      </c>
      <c r="E31" s="6">
        <v>370</v>
      </c>
      <c r="F31" s="1" t="str">
        <f t="shared" ca="1" si="0"/>
        <v>PENDENTE</v>
      </c>
      <c r="G31" s="12"/>
      <c r="H31" s="1" t="s">
        <v>13</v>
      </c>
      <c r="I31" s="1" t="s">
        <v>12</v>
      </c>
    </row>
    <row r="32" spans="2:9" x14ac:dyDescent="0.25">
      <c r="B32" s="5">
        <v>46096</v>
      </c>
      <c r="C32" s="1" t="s">
        <v>76</v>
      </c>
      <c r="D32" s="1" t="s">
        <v>77</v>
      </c>
      <c r="E32" s="6">
        <v>950</v>
      </c>
      <c r="F32" s="1" t="str">
        <f t="shared" ca="1" si="0"/>
        <v>PENDENTE</v>
      </c>
      <c r="G32" s="12"/>
      <c r="H32" s="1" t="s">
        <v>18</v>
      </c>
      <c r="I32" s="1" t="s">
        <v>34</v>
      </c>
    </row>
    <row r="33" spans="2:9" x14ac:dyDescent="0.25">
      <c r="B33" s="5">
        <v>46099</v>
      </c>
      <c r="C33" s="1" t="s">
        <v>78</v>
      </c>
      <c r="D33" s="1" t="s">
        <v>79</v>
      </c>
      <c r="E33" s="6">
        <v>1000</v>
      </c>
      <c r="F33" s="1" t="str">
        <f t="shared" ca="1" si="0"/>
        <v>PAGO</v>
      </c>
      <c r="G33" s="11">
        <v>46102</v>
      </c>
      <c r="H33" s="1" t="s">
        <v>13</v>
      </c>
      <c r="I33" s="1" t="s">
        <v>12</v>
      </c>
    </row>
    <row r="34" spans="2:9" x14ac:dyDescent="0.25">
      <c r="B34" s="5">
        <v>46101</v>
      </c>
      <c r="C34" s="1" t="s">
        <v>80</v>
      </c>
      <c r="D34" s="1" t="s">
        <v>57</v>
      </c>
      <c r="E34" s="6">
        <v>2500</v>
      </c>
      <c r="F34" s="1" t="str">
        <f t="shared" ca="1" si="0"/>
        <v>PENDENTE</v>
      </c>
      <c r="G34" s="12"/>
      <c r="H34" s="1" t="s">
        <v>13</v>
      </c>
      <c r="I34" s="1" t="s">
        <v>14</v>
      </c>
    </row>
    <row r="35" spans="2:9" x14ac:dyDescent="0.25">
      <c r="B35" s="5">
        <v>46103</v>
      </c>
      <c r="C35" s="1" t="s">
        <v>81</v>
      </c>
      <c r="D35" s="1" t="s">
        <v>59</v>
      </c>
      <c r="E35" s="6">
        <v>2500</v>
      </c>
      <c r="F35" s="1" t="str">
        <f t="shared" ca="1" si="0"/>
        <v>PAGO</v>
      </c>
      <c r="G35" s="11">
        <v>46104</v>
      </c>
      <c r="H35" s="1" t="s">
        <v>13</v>
      </c>
      <c r="I35" s="1" t="s">
        <v>14</v>
      </c>
    </row>
    <row r="36" spans="2:9" x14ac:dyDescent="0.25">
      <c r="B36" s="5">
        <v>46106</v>
      </c>
      <c r="C36" s="1" t="s">
        <v>82</v>
      </c>
      <c r="D36" s="1" t="s">
        <v>83</v>
      </c>
      <c r="E36" s="6">
        <v>190</v>
      </c>
      <c r="F36" s="1" t="str">
        <f t="shared" ca="1" si="0"/>
        <v>PENDENTE</v>
      </c>
      <c r="G36" s="12"/>
      <c r="H36" s="1" t="s">
        <v>27</v>
      </c>
      <c r="I36" s="1" t="s">
        <v>12</v>
      </c>
    </row>
    <row r="37" spans="2:9" x14ac:dyDescent="0.25">
      <c r="B37" s="5">
        <v>46108</v>
      </c>
      <c r="C37" s="1" t="s">
        <v>66</v>
      </c>
      <c r="D37" s="1" t="s">
        <v>84</v>
      </c>
      <c r="E37" s="6">
        <v>450</v>
      </c>
      <c r="F37" s="1" t="str">
        <f t="shared" ca="1" si="0"/>
        <v>PENDENTE</v>
      </c>
      <c r="G37" s="12"/>
      <c r="H37" s="1" t="s">
        <v>11</v>
      </c>
      <c r="I37" s="1" t="s">
        <v>12</v>
      </c>
    </row>
    <row r="38" spans="2:9" x14ac:dyDescent="0.25">
      <c r="B38" s="5">
        <v>46110</v>
      </c>
      <c r="C38" s="1" t="s">
        <v>20</v>
      </c>
      <c r="D38" s="1" t="s">
        <v>85</v>
      </c>
      <c r="E38" s="6">
        <v>1100</v>
      </c>
      <c r="F38" s="1" t="str">
        <f t="shared" ca="1" si="0"/>
        <v>PENDENTE</v>
      </c>
      <c r="G38" s="12"/>
      <c r="H38" s="1" t="s">
        <v>18</v>
      </c>
      <c r="I38" s="1" t="s">
        <v>12</v>
      </c>
    </row>
    <row r="39" spans="2:9" x14ac:dyDescent="0.25">
      <c r="B39" s="5">
        <v>46114</v>
      </c>
      <c r="C39" s="1" t="s">
        <v>16</v>
      </c>
      <c r="D39" s="1" t="s">
        <v>86</v>
      </c>
      <c r="E39" s="6">
        <v>3000</v>
      </c>
      <c r="F39" s="1" t="str">
        <f t="shared" ca="1" si="0"/>
        <v>PAGO</v>
      </c>
      <c r="G39" s="11">
        <v>46115</v>
      </c>
      <c r="H39" s="1" t="s">
        <v>18</v>
      </c>
      <c r="I39" s="1" t="s">
        <v>24</v>
      </c>
    </row>
    <row r="40" spans="2:9" x14ac:dyDescent="0.25">
      <c r="B40" s="5">
        <v>46117</v>
      </c>
      <c r="C40" s="1" t="s">
        <v>22</v>
      </c>
      <c r="D40" s="1" t="s">
        <v>87</v>
      </c>
      <c r="E40" s="6">
        <v>950</v>
      </c>
      <c r="F40" s="1" t="str">
        <f t="shared" ca="1" si="0"/>
        <v>PENDENTE</v>
      </c>
      <c r="G40" s="12"/>
      <c r="H40" s="1" t="s">
        <v>13</v>
      </c>
      <c r="I40" s="1" t="s">
        <v>24</v>
      </c>
    </row>
    <row r="41" spans="2:9" x14ac:dyDescent="0.25">
      <c r="B41" s="5">
        <v>46120</v>
      </c>
      <c r="C41" s="1" t="s">
        <v>28</v>
      </c>
      <c r="D41" s="1" t="s">
        <v>29</v>
      </c>
      <c r="E41" s="6">
        <v>1480</v>
      </c>
      <c r="F41" s="1" t="str">
        <f t="shared" ca="1" si="0"/>
        <v>PAGO</v>
      </c>
      <c r="G41" s="11">
        <v>46121</v>
      </c>
      <c r="H41" s="1" t="s">
        <v>18</v>
      </c>
      <c r="I41" s="1" t="s">
        <v>19</v>
      </c>
    </row>
    <row r="42" spans="2:9" x14ac:dyDescent="0.25">
      <c r="B42" s="5">
        <v>46122</v>
      </c>
      <c r="C42" s="1" t="s">
        <v>88</v>
      </c>
      <c r="D42" s="1" t="s">
        <v>59</v>
      </c>
      <c r="E42" s="6">
        <v>2500</v>
      </c>
      <c r="F42" s="1" t="str">
        <f t="shared" ca="1" si="0"/>
        <v>PAGO</v>
      </c>
      <c r="G42" s="11">
        <v>46122</v>
      </c>
      <c r="H42" s="1" t="s">
        <v>13</v>
      </c>
      <c r="I42" s="1" t="s">
        <v>14</v>
      </c>
    </row>
    <row r="43" spans="2:9" x14ac:dyDescent="0.25">
      <c r="B43" s="5">
        <v>46124</v>
      </c>
      <c r="C43" s="1" t="s">
        <v>89</v>
      </c>
      <c r="D43" s="1" t="s">
        <v>90</v>
      </c>
      <c r="E43" s="6">
        <v>680</v>
      </c>
      <c r="F43" s="1" t="str">
        <f t="shared" ca="1" si="0"/>
        <v>PENDENTE</v>
      </c>
      <c r="G43" s="12"/>
      <c r="H43" s="1" t="s">
        <v>27</v>
      </c>
      <c r="I43" s="1" t="s">
        <v>12</v>
      </c>
    </row>
    <row r="44" spans="2:9" x14ac:dyDescent="0.25">
      <c r="B44" s="5">
        <v>46127</v>
      </c>
      <c r="C44" s="1" t="s">
        <v>91</v>
      </c>
      <c r="D44" s="1" t="s">
        <v>92</v>
      </c>
      <c r="E44" s="6">
        <v>150</v>
      </c>
      <c r="F44" s="1" t="str">
        <f t="shared" ca="1" si="0"/>
        <v>PAGO</v>
      </c>
      <c r="G44" s="11">
        <v>46127</v>
      </c>
      <c r="H44" s="1" t="s">
        <v>27</v>
      </c>
      <c r="I44" s="1" t="s">
        <v>12</v>
      </c>
    </row>
  </sheetData>
  <conditionalFormatting sqref="F4:F44">
    <cfRule type="cellIs" dxfId="51" priority="1" operator="equal">
      <formula>"PAGO"</formula>
    </cfRule>
    <cfRule type="cellIs" dxfId="50" priority="2" operator="equal">
      <formula>"PENDENTE"</formula>
    </cfRule>
    <cfRule type="cellIs" dxfId="49" priority="3" operator="equal">
      <formula>"ATRASADO"</formula>
    </cfRule>
  </conditionalFormatting>
  <dataValidations count="2">
    <dataValidation type="list" allowBlank="1" showInputMessage="1" showErrorMessage="1" sqref="H4" xr:uid="{CBF0935B-0E0A-4A30-BE6D-F6DA4D853F42}">
      <formula1>"BOLETO,TRANSFERÊNCIA,PIX,CRÉDITO,DÉBITO,DINHEIRO"</formula1>
    </dataValidation>
    <dataValidation type="list" allowBlank="1" showInputMessage="1" showErrorMessage="1" sqref="I4" xr:uid="{0C206B34-6D2E-48D5-BD63-47FC895C574D}">
      <formula1>"MORADIA,ALIMENTAÇÃO,TRANSPORTE, PESSOAL,ADMINISTRATIVO"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381C-6323-489F-98C7-D8C9C3CECB48}">
  <dimension ref="A1:I23"/>
  <sheetViews>
    <sheetView showGridLines="0" zoomScale="85" zoomScaleNormal="85" workbookViewId="0">
      <selection activeCell="D22" sqref="D22"/>
    </sheetView>
  </sheetViews>
  <sheetFormatPr defaultRowHeight="15" x14ac:dyDescent="0.25"/>
  <cols>
    <col min="1" max="1" width="3.7109375" customWidth="1"/>
    <col min="2" max="2" width="26.140625" bestFit="1" customWidth="1"/>
    <col min="3" max="3" width="27.140625" customWidth="1"/>
    <col min="4" max="4" width="33.140625" bestFit="1" customWidth="1"/>
    <col min="5" max="5" width="20.140625" bestFit="1" customWidth="1"/>
    <col min="6" max="6" width="12.28515625" bestFit="1" customWidth="1"/>
    <col min="7" max="7" width="26.28515625" bestFit="1" customWidth="1"/>
    <col min="8" max="8" width="25" bestFit="1" customWidth="1"/>
    <col min="9" max="9" width="22.140625" bestFit="1" customWidth="1"/>
  </cols>
  <sheetData>
    <row r="1" spans="1:9" s="2" customFormat="1" ht="57" customHeight="1" x14ac:dyDescent="0.25">
      <c r="A1" s="3" t="s">
        <v>1</v>
      </c>
    </row>
    <row r="3" spans="1:9" x14ac:dyDescent="0.25">
      <c r="B3" s="1" t="s">
        <v>3</v>
      </c>
      <c r="C3" s="1" t="s">
        <v>15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B4" s="11">
        <v>46025</v>
      </c>
      <c r="C4" s="12" t="s">
        <v>93</v>
      </c>
      <c r="D4" s="1" t="s">
        <v>94</v>
      </c>
      <c r="E4" s="7">
        <v>1200</v>
      </c>
      <c r="F4" s="1" t="str">
        <f ca="1">IF(G4&lt;&gt;"","PAGO",IF(B4&lt;TODAY(),"ATRASADO","PENDENTE"))</f>
        <v>PAGO</v>
      </c>
      <c r="G4" s="13">
        <v>46025</v>
      </c>
      <c r="H4" s="14" t="s">
        <v>13</v>
      </c>
      <c r="I4" s="14" t="s">
        <v>24</v>
      </c>
    </row>
    <row r="5" spans="1:9" x14ac:dyDescent="0.25">
      <c r="B5" s="11">
        <v>45662</v>
      </c>
      <c r="C5" s="11" t="s">
        <v>95</v>
      </c>
      <c r="D5" s="1" t="s">
        <v>96</v>
      </c>
      <c r="E5" s="7">
        <v>2800</v>
      </c>
      <c r="F5" s="1" t="str">
        <f ca="1">IF(G5&lt;&gt;"","PAGO",IF(B5&lt;TODAY(),"ATRASADO","PENDENTE"))</f>
        <v>ATRASADO</v>
      </c>
      <c r="G5" s="13"/>
      <c r="H5" s="14"/>
      <c r="I5" s="14" t="s">
        <v>12</v>
      </c>
    </row>
    <row r="6" spans="1:9" x14ac:dyDescent="0.25">
      <c r="B6" s="11">
        <v>46030</v>
      </c>
      <c r="C6" s="12" t="s">
        <v>97</v>
      </c>
      <c r="D6" s="1" t="s">
        <v>98</v>
      </c>
      <c r="E6" s="7">
        <v>950</v>
      </c>
      <c r="F6" s="1" t="str">
        <f t="shared" ref="F6:F23" ca="1" si="0">IF(G6&lt;&gt;"","PAGO",IF(B6&lt;TODAY(),"ATRASADO","PENDENTE"))</f>
        <v>PAGO</v>
      </c>
      <c r="G6" s="13">
        <v>46030</v>
      </c>
      <c r="H6" s="14" t="s">
        <v>13</v>
      </c>
      <c r="I6" s="14" t="s">
        <v>24</v>
      </c>
    </row>
    <row r="7" spans="1:9" x14ac:dyDescent="0.25">
      <c r="B7" s="11">
        <v>46032</v>
      </c>
      <c r="C7" s="11" t="s">
        <v>99</v>
      </c>
      <c r="D7" s="1" t="s">
        <v>100</v>
      </c>
      <c r="E7" s="7">
        <v>1100</v>
      </c>
      <c r="F7" s="1" t="str">
        <f t="shared" ca="1" si="0"/>
        <v>PENDENTE</v>
      </c>
      <c r="G7" s="14"/>
      <c r="H7" s="14" t="s">
        <v>18</v>
      </c>
      <c r="I7" s="14" t="s">
        <v>24</v>
      </c>
    </row>
    <row r="8" spans="1:9" x14ac:dyDescent="0.25">
      <c r="B8" s="11">
        <v>46034</v>
      </c>
      <c r="C8" s="11" t="s">
        <v>101</v>
      </c>
      <c r="D8" s="1" t="s">
        <v>102</v>
      </c>
      <c r="E8" s="7">
        <v>1600</v>
      </c>
      <c r="F8" s="1" t="str">
        <f t="shared" ca="1" si="0"/>
        <v>PENDENTE</v>
      </c>
      <c r="G8" s="14"/>
      <c r="H8" s="14" t="s">
        <v>39</v>
      </c>
      <c r="I8" s="14" t="s">
        <v>24</v>
      </c>
    </row>
    <row r="9" spans="1:9" x14ac:dyDescent="0.25">
      <c r="B9" s="11">
        <v>46037</v>
      </c>
      <c r="C9" s="12" t="s">
        <v>103</v>
      </c>
      <c r="D9" s="1" t="s">
        <v>104</v>
      </c>
      <c r="E9" s="7">
        <v>2300</v>
      </c>
      <c r="F9" s="1" t="str">
        <f t="shared" ca="1" si="0"/>
        <v>PAGO</v>
      </c>
      <c r="G9" s="13">
        <v>46037</v>
      </c>
      <c r="H9" s="14" t="s">
        <v>13</v>
      </c>
      <c r="I9" s="14" t="s">
        <v>12</v>
      </c>
    </row>
    <row r="10" spans="1:9" x14ac:dyDescent="0.25">
      <c r="B10" s="11">
        <v>46040</v>
      </c>
      <c r="C10" s="12" t="s">
        <v>105</v>
      </c>
      <c r="D10" s="1" t="s">
        <v>106</v>
      </c>
      <c r="E10" s="7">
        <v>1750</v>
      </c>
      <c r="F10" s="1" t="str">
        <f t="shared" ca="1" si="0"/>
        <v>PAGO</v>
      </c>
      <c r="G10" s="13">
        <v>46041</v>
      </c>
      <c r="H10" s="14" t="s">
        <v>27</v>
      </c>
      <c r="I10" s="14" t="s">
        <v>24</v>
      </c>
    </row>
    <row r="11" spans="1:9" x14ac:dyDescent="0.25">
      <c r="B11" s="11">
        <v>45677</v>
      </c>
      <c r="C11" s="11" t="s">
        <v>107</v>
      </c>
      <c r="D11" s="1" t="s">
        <v>108</v>
      </c>
      <c r="E11" s="7">
        <v>2100</v>
      </c>
      <c r="F11" s="1" t="str">
        <f t="shared" ca="1" si="0"/>
        <v>ATRASADO</v>
      </c>
      <c r="G11" s="14"/>
      <c r="H11" s="14"/>
      <c r="I11" s="14" t="s">
        <v>24</v>
      </c>
    </row>
    <row r="12" spans="1:9" x14ac:dyDescent="0.25">
      <c r="B12" s="11">
        <v>46044</v>
      </c>
      <c r="C12" s="12" t="s">
        <v>109</v>
      </c>
      <c r="D12" s="1" t="s">
        <v>110</v>
      </c>
      <c r="E12" s="7">
        <v>4800</v>
      </c>
      <c r="F12" s="1" t="str">
        <f t="shared" ca="1" si="0"/>
        <v>PENDENTE</v>
      </c>
      <c r="G12" s="14"/>
      <c r="H12" s="14" t="s">
        <v>11</v>
      </c>
      <c r="I12" s="14" t="s">
        <v>12</v>
      </c>
    </row>
    <row r="13" spans="1:9" x14ac:dyDescent="0.25">
      <c r="B13" s="11">
        <v>46047</v>
      </c>
      <c r="C13" s="11" t="s">
        <v>111</v>
      </c>
      <c r="D13" s="1" t="s">
        <v>112</v>
      </c>
      <c r="E13" s="7">
        <v>1450</v>
      </c>
      <c r="F13" s="1" t="str">
        <f t="shared" ca="1" si="0"/>
        <v>PAGO</v>
      </c>
      <c r="G13" s="13">
        <v>46048</v>
      </c>
      <c r="H13" s="14" t="s">
        <v>13</v>
      </c>
      <c r="I13" s="14" t="s">
        <v>24</v>
      </c>
    </row>
    <row r="14" spans="1:9" x14ac:dyDescent="0.25">
      <c r="B14" s="11">
        <v>46050</v>
      </c>
      <c r="C14" s="12" t="s">
        <v>113</v>
      </c>
      <c r="D14" s="1" t="s">
        <v>114</v>
      </c>
      <c r="E14" s="7">
        <v>1250</v>
      </c>
      <c r="F14" s="1" t="str">
        <f t="shared" ca="1" si="0"/>
        <v>PENDENTE</v>
      </c>
      <c r="G14" s="14"/>
      <c r="H14" s="14" t="s">
        <v>27</v>
      </c>
      <c r="I14" s="14" t="s">
        <v>24</v>
      </c>
    </row>
    <row r="15" spans="1:9" x14ac:dyDescent="0.25">
      <c r="B15" s="11">
        <v>46052</v>
      </c>
      <c r="C15" s="12" t="s">
        <v>115</v>
      </c>
      <c r="D15" s="1" t="s">
        <v>116</v>
      </c>
      <c r="E15" s="7">
        <v>1600</v>
      </c>
      <c r="F15" s="1" t="str">
        <f t="shared" ca="1" si="0"/>
        <v>PAGO</v>
      </c>
      <c r="G15" s="13">
        <v>46052</v>
      </c>
      <c r="H15" s="14" t="s">
        <v>13</v>
      </c>
      <c r="I15" s="14" t="s">
        <v>12</v>
      </c>
    </row>
    <row r="16" spans="1:9" x14ac:dyDescent="0.25">
      <c r="B16" s="11">
        <v>46055</v>
      </c>
      <c r="C16" s="12" t="s">
        <v>117</v>
      </c>
      <c r="D16" s="1" t="s">
        <v>118</v>
      </c>
      <c r="E16" s="7">
        <v>1900</v>
      </c>
      <c r="F16" s="1" t="str">
        <f t="shared" ca="1" si="0"/>
        <v>PENDENTE</v>
      </c>
      <c r="G16" s="14"/>
      <c r="H16" s="14" t="s">
        <v>18</v>
      </c>
      <c r="I16" s="14" t="s">
        <v>24</v>
      </c>
    </row>
    <row r="17" spans="2:9" x14ac:dyDescent="0.25">
      <c r="B17" s="11">
        <v>46058</v>
      </c>
      <c r="C17" s="11" t="s">
        <v>119</v>
      </c>
      <c r="D17" s="1" t="s">
        <v>120</v>
      </c>
      <c r="E17" s="7">
        <v>2200</v>
      </c>
      <c r="F17" s="1" t="str">
        <f t="shared" ca="1" si="0"/>
        <v>PAGO</v>
      </c>
      <c r="G17" s="13">
        <v>46058</v>
      </c>
      <c r="H17" s="14" t="s">
        <v>39</v>
      </c>
      <c r="I17" s="14" t="s">
        <v>12</v>
      </c>
    </row>
    <row r="18" spans="2:9" x14ac:dyDescent="0.25">
      <c r="B18" s="11">
        <v>46060</v>
      </c>
      <c r="C18" s="12" t="s">
        <v>121</v>
      </c>
      <c r="D18" s="1" t="s">
        <v>122</v>
      </c>
      <c r="E18" s="7">
        <v>1050</v>
      </c>
      <c r="F18" s="1" t="str">
        <f t="shared" ca="1" si="0"/>
        <v>PAGO</v>
      </c>
      <c r="G18" s="13">
        <v>46061</v>
      </c>
      <c r="H18" s="14" t="s">
        <v>13</v>
      </c>
      <c r="I18" s="14" t="s">
        <v>24</v>
      </c>
    </row>
    <row r="19" spans="2:9" x14ac:dyDescent="0.25">
      <c r="B19" s="11">
        <v>46063</v>
      </c>
      <c r="C19" s="11" t="s">
        <v>123</v>
      </c>
      <c r="D19" s="1" t="s">
        <v>124</v>
      </c>
      <c r="E19" s="7">
        <v>3600</v>
      </c>
      <c r="F19" s="1" t="str">
        <f t="shared" ca="1" si="0"/>
        <v>PENDENTE</v>
      </c>
      <c r="G19" s="14"/>
      <c r="H19" s="14" t="s">
        <v>11</v>
      </c>
      <c r="I19" s="14" t="s">
        <v>12</v>
      </c>
    </row>
    <row r="20" spans="2:9" x14ac:dyDescent="0.25">
      <c r="B20" s="11">
        <v>46065</v>
      </c>
      <c r="C20" s="11" t="s">
        <v>125</v>
      </c>
      <c r="D20" s="1" t="s">
        <v>126</v>
      </c>
      <c r="E20" s="7">
        <v>4300</v>
      </c>
      <c r="F20" s="1" t="str">
        <f t="shared" ca="1" si="0"/>
        <v>PENDENTE</v>
      </c>
      <c r="G20" s="14"/>
      <c r="H20" s="14" t="s">
        <v>18</v>
      </c>
      <c r="I20" s="14" t="s">
        <v>24</v>
      </c>
    </row>
    <row r="21" spans="2:9" x14ac:dyDescent="0.25">
      <c r="B21" s="11">
        <v>46068</v>
      </c>
      <c r="C21" s="12" t="s">
        <v>127</v>
      </c>
      <c r="D21" s="1" t="s">
        <v>128</v>
      </c>
      <c r="E21" s="7">
        <v>1800</v>
      </c>
      <c r="F21" s="1" t="str">
        <f t="shared" ca="1" si="0"/>
        <v>PAGO</v>
      </c>
      <c r="G21" s="13">
        <v>46069</v>
      </c>
      <c r="H21" s="14" t="s">
        <v>13</v>
      </c>
      <c r="I21" s="14" t="s">
        <v>24</v>
      </c>
    </row>
    <row r="22" spans="2:9" x14ac:dyDescent="0.25">
      <c r="B22" s="11">
        <v>46071</v>
      </c>
      <c r="C22" s="11" t="s">
        <v>129</v>
      </c>
      <c r="D22" s="1" t="s">
        <v>130</v>
      </c>
      <c r="E22" s="7">
        <v>1400</v>
      </c>
      <c r="F22" s="1" t="str">
        <f t="shared" ca="1" si="0"/>
        <v>PENDENTE</v>
      </c>
      <c r="G22" s="14"/>
      <c r="H22" s="14" t="s">
        <v>27</v>
      </c>
      <c r="I22" s="14" t="s">
        <v>24</v>
      </c>
    </row>
    <row r="23" spans="2:9" x14ac:dyDescent="0.25">
      <c r="B23" s="5">
        <v>46073</v>
      </c>
      <c r="C23" s="1" t="s">
        <v>131</v>
      </c>
      <c r="D23" s="1" t="s">
        <v>132</v>
      </c>
      <c r="E23" s="7">
        <v>3000</v>
      </c>
      <c r="F23" s="1" t="str">
        <f t="shared" ca="1" si="0"/>
        <v>PENDENTE</v>
      </c>
      <c r="G23" s="14"/>
      <c r="H23" s="14" t="s">
        <v>11</v>
      </c>
      <c r="I23" s="14" t="s">
        <v>12</v>
      </c>
    </row>
  </sheetData>
  <conditionalFormatting sqref="F4:F23">
    <cfRule type="cellIs" dxfId="48" priority="1" operator="equal">
      <formula>"PAGO"</formula>
    </cfRule>
    <cfRule type="cellIs" dxfId="47" priority="2" operator="equal">
      <formula>"PENDENTE"</formula>
    </cfRule>
    <cfRule type="cellIs" dxfId="46" priority="3" operator="equal">
      <formula>"ATRASADO"</formula>
    </cfRule>
  </conditionalFormatting>
  <dataValidations count="2">
    <dataValidation type="list" allowBlank="1" showInputMessage="1" showErrorMessage="1" sqref="I4:I23" xr:uid="{0D054088-7120-44DF-83AC-0819593C153D}">
      <formula1>"MORADIA,ALIMENTAÇÃO,TRANSPORTE, PESSOAL,ADMINISTRATIVO"</formula1>
    </dataValidation>
    <dataValidation type="list" allowBlank="1" showInputMessage="1" showErrorMessage="1" sqref="H4:H5" xr:uid="{473856FB-29DC-476B-9085-2AD0AFD01284}">
      <formula1>"BOLETO,TRANSFERÊNCIA,PIX,CRÉDITO,DÉBITO,DINHEIRO"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E5BE-2E08-4217-BF4B-0E9BFB441D02}">
  <dimension ref="A1:L19"/>
  <sheetViews>
    <sheetView showGridLines="0" tabSelected="1" workbookViewId="0">
      <selection activeCell="I14" sqref="I14"/>
    </sheetView>
  </sheetViews>
  <sheetFormatPr defaultRowHeight="15" x14ac:dyDescent="0.25"/>
  <cols>
    <col min="2" max="2" width="19.85546875" customWidth="1"/>
    <col min="3" max="3" width="12.140625" bestFit="1" customWidth="1"/>
    <col min="4" max="6" width="13.28515625" bestFit="1" customWidth="1"/>
    <col min="8" max="8" width="17.42578125" bestFit="1" customWidth="1"/>
    <col min="9" max="11" width="18.42578125" customWidth="1"/>
    <col min="12" max="12" width="11.7109375" bestFit="1" customWidth="1"/>
  </cols>
  <sheetData>
    <row r="1" spans="1:12" s="2" customFormat="1" ht="57" customHeight="1" x14ac:dyDescent="0.25">
      <c r="A1" s="3" t="s">
        <v>2</v>
      </c>
    </row>
    <row r="3" spans="1:12" x14ac:dyDescent="0.25">
      <c r="B3" s="8" t="s">
        <v>1</v>
      </c>
      <c r="C3" s="8" t="s">
        <v>146</v>
      </c>
      <c r="H3" s="8" t="s">
        <v>148</v>
      </c>
      <c r="I3" s="8" t="s">
        <v>146</v>
      </c>
    </row>
    <row r="4" spans="1:12" x14ac:dyDescent="0.25">
      <c r="B4" s="8" t="s">
        <v>147</v>
      </c>
      <c r="C4" s="1" t="s">
        <v>137</v>
      </c>
      <c r="D4" s="14" t="s">
        <v>138</v>
      </c>
      <c r="E4" s="14" t="s">
        <v>139</v>
      </c>
      <c r="F4" s="14" t="s">
        <v>133</v>
      </c>
      <c r="H4" s="8" t="s">
        <v>147</v>
      </c>
      <c r="I4" s="14" t="s">
        <v>137</v>
      </c>
      <c r="J4" s="14" t="s">
        <v>138</v>
      </c>
      <c r="K4" s="14" t="s">
        <v>139</v>
      </c>
      <c r="L4" s="14" t="s">
        <v>133</v>
      </c>
    </row>
    <row r="5" spans="1:12" x14ac:dyDescent="0.25">
      <c r="B5" s="9" t="s">
        <v>134</v>
      </c>
      <c r="C5" s="17">
        <v>1980</v>
      </c>
      <c r="D5" s="18"/>
      <c r="E5" s="18"/>
      <c r="F5" s="18">
        <v>1980</v>
      </c>
      <c r="H5" s="9" t="s">
        <v>135</v>
      </c>
      <c r="I5" s="15">
        <v>4900</v>
      </c>
      <c r="J5" s="15"/>
      <c r="K5" s="15"/>
      <c r="L5" s="15">
        <v>4900</v>
      </c>
    </row>
    <row r="6" spans="1:12" x14ac:dyDescent="0.25">
      <c r="B6" s="10" t="s">
        <v>140</v>
      </c>
      <c r="C6" s="17">
        <v>780</v>
      </c>
      <c r="D6" s="18"/>
      <c r="E6" s="18"/>
      <c r="F6" s="18">
        <v>780</v>
      </c>
      <c r="H6" s="10" t="s">
        <v>140</v>
      </c>
      <c r="I6" s="15">
        <v>4900</v>
      </c>
      <c r="J6" s="15"/>
      <c r="K6" s="15"/>
      <c r="L6" s="15">
        <v>4900</v>
      </c>
    </row>
    <row r="7" spans="1:12" x14ac:dyDescent="0.25">
      <c r="B7" s="10" t="s">
        <v>141</v>
      </c>
      <c r="C7" s="17">
        <v>1200</v>
      </c>
      <c r="D7" s="18"/>
      <c r="E7" s="18"/>
      <c r="F7" s="18">
        <v>1200</v>
      </c>
      <c r="H7" s="9" t="s">
        <v>136</v>
      </c>
      <c r="I7" s="15"/>
      <c r="J7" s="15">
        <v>14300</v>
      </c>
      <c r="K7" s="15">
        <v>22950</v>
      </c>
      <c r="L7" s="15">
        <v>37250</v>
      </c>
    </row>
    <row r="8" spans="1:12" x14ac:dyDescent="0.25">
      <c r="B8" s="9" t="s">
        <v>135</v>
      </c>
      <c r="C8" s="17">
        <v>620</v>
      </c>
      <c r="D8" s="18"/>
      <c r="E8" s="18"/>
      <c r="F8" s="18">
        <v>620</v>
      </c>
      <c r="H8" s="10" t="s">
        <v>140</v>
      </c>
      <c r="I8" s="15"/>
      <c r="J8" s="15">
        <v>9250</v>
      </c>
      <c r="K8" s="15">
        <v>8750</v>
      </c>
      <c r="L8" s="15">
        <v>18000</v>
      </c>
    </row>
    <row r="9" spans="1:12" x14ac:dyDescent="0.25">
      <c r="B9" s="10" t="s">
        <v>143</v>
      </c>
      <c r="C9" s="17">
        <v>620</v>
      </c>
      <c r="D9" s="18"/>
      <c r="E9" s="18"/>
      <c r="F9" s="18">
        <v>620</v>
      </c>
      <c r="H9" s="10" t="s">
        <v>141</v>
      </c>
      <c r="I9" s="15"/>
      <c r="J9" s="15">
        <v>5050</v>
      </c>
      <c r="K9" s="15">
        <v>14200</v>
      </c>
      <c r="L9" s="15">
        <v>19250</v>
      </c>
    </row>
    <row r="10" spans="1:12" x14ac:dyDescent="0.25">
      <c r="B10" s="9" t="s">
        <v>136</v>
      </c>
      <c r="C10" s="17"/>
      <c r="D10" s="18">
        <v>33849</v>
      </c>
      <c r="E10" s="18">
        <v>10830</v>
      </c>
      <c r="F10" s="18">
        <v>44679</v>
      </c>
      <c r="H10" s="9" t="s">
        <v>133</v>
      </c>
      <c r="I10" s="16">
        <v>4900</v>
      </c>
      <c r="J10" s="16">
        <v>14300</v>
      </c>
      <c r="K10" s="16">
        <v>22950</v>
      </c>
      <c r="L10" s="16">
        <v>42150</v>
      </c>
    </row>
    <row r="11" spans="1:12" x14ac:dyDescent="0.25">
      <c r="B11" s="10" t="s">
        <v>140</v>
      </c>
      <c r="C11" s="17"/>
      <c r="D11" s="18">
        <v>7509</v>
      </c>
      <c r="E11" s="18">
        <v>1580</v>
      </c>
      <c r="F11" s="18">
        <v>9089</v>
      </c>
    </row>
    <row r="12" spans="1:12" x14ac:dyDescent="0.25">
      <c r="B12" s="10" t="s">
        <v>141</v>
      </c>
      <c r="C12" s="17"/>
      <c r="D12" s="18">
        <v>8840</v>
      </c>
      <c r="E12" s="18">
        <v>1200</v>
      </c>
      <c r="F12" s="18">
        <v>10040</v>
      </c>
    </row>
    <row r="13" spans="1:12" x14ac:dyDescent="0.25">
      <c r="B13" s="10" t="s">
        <v>142</v>
      </c>
      <c r="C13" s="17"/>
      <c r="D13" s="18">
        <v>10370</v>
      </c>
      <c r="E13" s="18">
        <v>6420</v>
      </c>
      <c r="F13" s="18">
        <v>16790</v>
      </c>
    </row>
    <row r="14" spans="1:12" x14ac:dyDescent="0.25">
      <c r="B14" s="10" t="s">
        <v>144</v>
      </c>
      <c r="C14" s="17"/>
      <c r="D14" s="18">
        <v>7130</v>
      </c>
      <c r="E14" s="18">
        <v>1630</v>
      </c>
      <c r="F14" s="18">
        <v>8760</v>
      </c>
    </row>
    <row r="15" spans="1:12" x14ac:dyDescent="0.25">
      <c r="B15" s="9" t="s">
        <v>133</v>
      </c>
      <c r="C15" s="17">
        <v>2600</v>
      </c>
      <c r="D15" s="18">
        <v>33849</v>
      </c>
      <c r="E15" s="18">
        <v>10830</v>
      </c>
      <c r="F15" s="18">
        <v>47279</v>
      </c>
    </row>
    <row r="19" spans="2:2" x14ac:dyDescent="0.25">
      <c r="B19" t="s">
        <v>145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Contas a pagar</vt:lpstr>
      <vt:lpstr>Contas a receber</vt:lpstr>
      <vt:lpstr>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Lydson</dc:creator>
  <cp:lastModifiedBy>GARCIA Lydson</cp:lastModifiedBy>
  <dcterms:created xsi:type="dcterms:W3CDTF">2015-06-05T18:19:34Z</dcterms:created>
  <dcterms:modified xsi:type="dcterms:W3CDTF">2025-10-18T05:51:19Z</dcterms:modified>
</cp:coreProperties>
</file>