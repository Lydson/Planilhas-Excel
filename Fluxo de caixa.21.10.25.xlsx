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ygarcia\Documents\Excel\MY COMPLETED PROJECTS\"/>
    </mc:Choice>
  </mc:AlternateContent>
  <xr:revisionPtr revIDLastSave="0" documentId="13_ncr:1_{6AA625A9-090E-4AB3-8FA1-6B265BD7E3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ixa" sheetId="3" r:id="rId1"/>
    <sheet name="Configurações" sheetId="1" r:id="rId2"/>
  </sheets>
  <definedNames>
    <definedName name="Entrada">tEntrada[Entrada]</definedName>
    <definedName name="lProximalinha">"Caixa!B"&amp;COUNTA(tCaixa[Data])+ROW(tCaixa[[#Headers],[Data]])+1</definedName>
    <definedName name="Saída">tSaida[Saída]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 a="1"/>
  <c r="B10" i="3" s="1"/>
  <c r="I13" i="3"/>
  <c r="G13" i="3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12" i="3"/>
  <c r="G7" i="3"/>
  <c r="G6" i="3"/>
  <c r="H11" i="1" a="1"/>
  <c r="H11" i="1" s="1"/>
  <c r="G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<sst xmlns="http://schemas.openxmlformats.org/spreadsheetml/2006/main" count="145" uniqueCount="64">
  <si>
    <t>FLUXO DE CAIXA</t>
  </si>
  <si>
    <t>Classificações</t>
  </si>
  <si>
    <t>Entrada</t>
  </si>
  <si>
    <t>Venda à Vista</t>
  </si>
  <si>
    <t>Venda à Prazo</t>
  </si>
  <si>
    <t>Juros</t>
  </si>
  <si>
    <t>Saída</t>
  </si>
  <si>
    <t>Fornecedor</t>
  </si>
  <si>
    <t>Serviço</t>
  </si>
  <si>
    <t>Comissão</t>
  </si>
  <si>
    <t>Aluguel</t>
  </si>
  <si>
    <t>Água</t>
  </si>
  <si>
    <t>Luz</t>
  </si>
  <si>
    <t>Internet</t>
  </si>
  <si>
    <t>Saldo inicial:</t>
  </si>
  <si>
    <t>Entradas</t>
  </si>
  <si>
    <t>Saídas</t>
  </si>
  <si>
    <t>Saldo</t>
  </si>
  <si>
    <t>Lançamentos Fluxo de Caixa</t>
  </si>
  <si>
    <t>Data</t>
  </si>
  <si>
    <t>Movimento</t>
  </si>
  <si>
    <t>Classificação</t>
  </si>
  <si>
    <t>Detalhamento</t>
  </si>
  <si>
    <t>Valor</t>
  </si>
  <si>
    <t>Na Classificação usei a função INDIRETO e defini em FÓRMULAS nomes para ENTRADAS E SAÍDAS para poder chamar indiretamente a lista para cá.</t>
  </si>
  <si>
    <t>Fatura de manutenção da vitrine</t>
  </si>
  <si>
    <t>Compra de chocolate belga</t>
  </si>
  <si>
    <t>Venda caixa presente premium</t>
  </si>
  <si>
    <t>Comissão vendedores semana</t>
  </si>
  <si>
    <t>Juros recebidos do parcelamento</t>
  </si>
  <si>
    <t>Aluguel loja julho</t>
  </si>
  <si>
    <t>Venda trufas sortidas</t>
  </si>
  <si>
    <t>Conta de luz</t>
  </si>
  <si>
    <t>Pedido empresa festa julina</t>
  </si>
  <si>
    <t>Internet e telefone</t>
  </si>
  <si>
    <t>Venda de cestas gourmet</t>
  </si>
  <si>
    <t>Limpeza profissional</t>
  </si>
  <si>
    <t>Juros sobre venda parcelada</t>
  </si>
  <si>
    <t>Compra de embalagens</t>
  </si>
  <si>
    <t>Venda de bombons</t>
  </si>
  <si>
    <t>Comissão semanal vendedores</t>
  </si>
  <si>
    <t>Conta de água</t>
  </si>
  <si>
    <t>Pedido corporativo de brindes</t>
  </si>
  <si>
    <t>Ingredientes diversos</t>
  </si>
  <si>
    <t>Venda de kits presente</t>
  </si>
  <si>
    <t>Serviço de fotógrafo (promoção)</t>
  </si>
  <si>
    <t>Venda de chocolate quente</t>
  </si>
  <si>
    <t>Aluguel loja agosto</t>
  </si>
  <si>
    <t>Venda cestas de aniversário</t>
  </si>
  <si>
    <t>Comissão semana</t>
  </si>
  <si>
    <t>Conta de luz agosto</t>
  </si>
  <si>
    <t>Venda grande - casamento</t>
  </si>
  <si>
    <t>Compra de chocolate importado</t>
  </si>
  <si>
    <t>Juros venda parcelada</t>
  </si>
  <si>
    <t>Conta de água agosto</t>
  </si>
  <si>
    <t>Venda trufas e tabletes</t>
  </si>
  <si>
    <t>Internet e telefone agosto</t>
  </si>
  <si>
    <t>Venda de bombons finos</t>
  </si>
  <si>
    <t>Venda para buffet infantil</t>
  </si>
  <si>
    <t>Entrega motoboy</t>
  </si>
  <si>
    <t>Juros sobre parcelamento</t>
  </si>
  <si>
    <t>Compra frutas para recheios</t>
  </si>
  <si>
    <t>Venda especial Dia dos Pais</t>
  </si>
  <si>
    <t>&lt;- Fórmula para função que leva o usuário para a última linha.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</si>
</sst>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1" xfId="0" applyFont="1" applyBorder="1"/>
    <xf numFmtId="0" fontId="4" fillId="0" borderId="3" xfId="0" applyFont="1" applyBorder="1"/>
    <xf numFmtId="0" fontId="5" fillId="0" borderId="3" xfId="0" applyFont="1" applyBorder="1"/>
    <xf numFmtId="14" fontId="0" fillId="0" borderId="0" xfId="0" applyNumberFormat="1"/>
    <xf numFmtId="44" fontId="3" fillId="0" borderId="2" xfId="1" applyFont="1" applyBorder="1"/>
    <xf numFmtId="44" fontId="4" fillId="0" borderId="4" xfId="1" applyFont="1" applyBorder="1"/>
    <xf numFmtId="44" fontId="5" fillId="0" borderId="4" xfId="1" applyFont="1" applyBorder="1"/>
    <xf numFmtId="0" fontId="6" fillId="0" borderId="5" xfId="0" applyFont="1" applyBorder="1"/>
    <xf numFmtId="44" fontId="6" fillId="0" borderId="6" xfId="0" applyNumberFormat="1" applyFont="1" applyBorder="1"/>
    <xf numFmtId="8" fontId="0" fillId="0" borderId="0" xfId="0" applyNumberFormat="1"/>
    <xf numFmtId="44" fontId="0" fillId="0" borderId="0" xfId="0" applyNumberFormat="1"/>
    <xf numFmtId="0" fontId="7" fillId="0" borderId="0" xfId="2"/>
  </cellXfs>
  <cellStyles count="3">
    <cellStyle name="Hiperlink" xfId="2" builtinId="8"/>
    <cellStyle name="Moeda" xfId="1" builtinId="4"/>
    <cellStyle name="Normal" xfId="0" builtinId="0"/>
  </cellStyles>
  <dxfs count="5">
    <dxf>
      <font>
        <color rgb="FFFF0000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12" formatCode="&quot;R$&quot;\ #,##0.00;[Red]\-&quot;R$&quot;\ 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figura&#231;&#245;es!A1"/><Relationship Id="rId1" Type="http://schemas.openxmlformats.org/officeDocument/2006/relationships/hyperlink" Target="#Caixa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Configura&#231;&#245;es!A1"/><Relationship Id="rId1" Type="http://schemas.openxmlformats.org/officeDocument/2006/relationships/hyperlink" Target="#Caix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47625</xdr:rowOff>
    </xdr:from>
    <xdr:to>
      <xdr:col>2</xdr:col>
      <xdr:colOff>0</xdr:colOff>
      <xdr:row>3</xdr:row>
      <xdr:rowOff>57150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AAF7D7-F187-4494-8449-FD54972AD81F}"/>
            </a:ext>
          </a:extLst>
        </xdr:cNvPr>
        <xdr:cNvSpPr/>
      </xdr:nvSpPr>
      <xdr:spPr>
        <a:xfrm>
          <a:off x="609601" y="800100"/>
          <a:ext cx="609599" cy="200025"/>
        </a:xfrm>
        <a:prstGeom prst="rect">
          <a:avLst/>
        </a:prstGeom>
        <a:solidFill>
          <a:schemeClr val="bg1">
            <a:lumMod val="75000"/>
          </a:schemeClr>
        </a:solidFill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Caixa</a:t>
          </a:r>
        </a:p>
      </xdr:txBody>
    </xdr:sp>
    <xdr:clientData/>
  </xdr:twoCellAnchor>
  <xdr:twoCellAnchor>
    <xdr:from>
      <xdr:col>2</xdr:col>
      <xdr:colOff>194072</xdr:colOff>
      <xdr:row>2</xdr:row>
      <xdr:rowOff>45244</xdr:rowOff>
    </xdr:from>
    <xdr:to>
      <xdr:col>3</xdr:col>
      <xdr:colOff>194072</xdr:colOff>
      <xdr:row>3</xdr:row>
      <xdr:rowOff>54769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CA50F7-2C24-4E92-A7D9-C17640727E67}"/>
            </a:ext>
          </a:extLst>
        </xdr:cNvPr>
        <xdr:cNvSpPr/>
      </xdr:nvSpPr>
      <xdr:spPr>
        <a:xfrm>
          <a:off x="1413272" y="797719"/>
          <a:ext cx="609600" cy="2000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Config.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47625</xdr:rowOff>
    </xdr:from>
    <xdr:to>
      <xdr:col>2</xdr:col>
      <xdr:colOff>0</xdr:colOff>
      <xdr:row>3</xdr:row>
      <xdr:rowOff>57150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FA8390-D0ED-62DA-0C43-A6C193F7FD2E}"/>
            </a:ext>
          </a:extLst>
        </xdr:cNvPr>
        <xdr:cNvSpPr/>
      </xdr:nvSpPr>
      <xdr:spPr>
        <a:xfrm>
          <a:off x="609601" y="800100"/>
          <a:ext cx="609599" cy="200025"/>
        </a:xfrm>
        <a:prstGeom prst="rect">
          <a:avLst/>
        </a:prstGeom>
        <a:solidFill>
          <a:schemeClr val="bg1">
            <a:lumMod val="75000"/>
          </a:schemeClr>
        </a:solidFill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Caixa</a:t>
          </a:r>
        </a:p>
      </xdr:txBody>
    </xdr:sp>
    <xdr:clientData/>
  </xdr:twoCellAnchor>
  <xdr:twoCellAnchor>
    <xdr:from>
      <xdr:col>2</xdr:col>
      <xdr:colOff>194072</xdr:colOff>
      <xdr:row>2</xdr:row>
      <xdr:rowOff>45244</xdr:rowOff>
    </xdr:from>
    <xdr:to>
      <xdr:col>3</xdr:col>
      <xdr:colOff>194072</xdr:colOff>
      <xdr:row>3</xdr:row>
      <xdr:rowOff>54769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15A437-B8A6-BAC7-663E-953CB6BCE276}"/>
            </a:ext>
          </a:extLst>
        </xdr:cNvPr>
        <xdr:cNvSpPr/>
      </xdr:nvSpPr>
      <xdr:spPr>
        <a:xfrm>
          <a:off x="1413272" y="797719"/>
          <a:ext cx="609600" cy="2000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Config.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2B3002-C1DC-4018-820C-4EB12958D386}" name="tCaixa" displayName="tCaixa" ref="B11:G50" totalsRowShown="0">
  <autoFilter ref="B11:G50" xr:uid="{8C2B3002-C1DC-4018-820C-4EB12958D386}"/>
  <tableColumns count="6">
    <tableColumn id="1" xr3:uid="{D239FDC9-63DD-4D8F-9DB7-FF4C7883BBB7}" name="Data" dataDxfId="4"/>
    <tableColumn id="2" xr3:uid="{9C42C3DB-150F-448D-957B-587D9DBDC680}" name="Movimento"/>
    <tableColumn id="3" xr3:uid="{3B62CF0C-CB3C-4FC6-8E20-15636E4458A7}" name="Classificação"/>
    <tableColumn id="4" xr3:uid="{7C36ABE9-FED0-45B8-92BC-4CB2BD41B683}" name="Detalhamento"/>
    <tableColumn id="5" xr3:uid="{60C73FFF-4309-4918-B5CB-C1729A22CC0B}" name="Valor" dataDxfId="3" dataCellStyle="Moeda"/>
    <tableColumn id="6" xr3:uid="{D8BFF33B-BDE9-4DF5-A8C4-4DF0B5FCA0A5}" name="Saldo" dataDxfId="2" dataCellStyle="Moeda">
      <calculatedColumnFormula>$G$5 + tCaixa[[#This Row],[Valor]]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79AAF-7103-46BD-A732-6EEFDC2A4953}" name="tEntrada" displayName="tEntrada" ref="B11:B14" totalsRowShown="0">
  <autoFilter ref="B11:B14" xr:uid="{C4779AAF-7103-46BD-A732-6EEFDC2A4953}"/>
  <tableColumns count="1">
    <tableColumn id="1" xr3:uid="{19A143EB-54F6-4633-9F2E-3B3DC2E854E1}" name="Entrad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B652F8-A84A-44F0-B532-30BD8CFB5028}" name="tSaida" displayName="tSaida" ref="D11:D18" totalsRowShown="0">
  <autoFilter ref="D11:D18" xr:uid="{BCB652F8-A84A-44F0-B532-30BD8CFB5028}"/>
  <tableColumns count="1">
    <tableColumn id="1" xr3:uid="{9A5CA821-4C94-4AD8-AB64-490B41ED522F}" name="Saí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09C9-EBA6-4691-B2D2-77C5F739FC9E}">
  <dimension ref="B2:J56"/>
  <sheetViews>
    <sheetView showGridLines="0" tabSelected="1" zoomScaleNormal="100" workbookViewId="0">
      <pane ySplit="11" topLeftCell="A12" activePane="bottomLeft" state="frozen"/>
      <selection pane="bottomLeft"/>
    </sheetView>
  </sheetViews>
  <sheetFormatPr defaultRowHeight="15" x14ac:dyDescent="0.25"/>
  <cols>
    <col min="2" max="2" width="13.28515625" customWidth="1"/>
    <col min="3" max="3" width="13.5703125" customWidth="1"/>
    <col min="4" max="4" width="14.28515625" customWidth="1"/>
    <col min="5" max="5" width="30.85546875" bestFit="1" customWidth="1"/>
    <col min="6" max="7" width="16.7109375" customWidth="1"/>
  </cols>
  <sheetData>
    <row r="2" spans="2:10" s="1" customFormat="1" ht="44.25" customHeight="1" x14ac:dyDescent="0.25">
      <c r="B2" s="1" t="s">
        <v>0</v>
      </c>
    </row>
    <row r="5" spans="2:10" x14ac:dyDescent="0.25">
      <c r="F5" s="2" t="s">
        <v>14</v>
      </c>
      <c r="G5" s="6">
        <v>500</v>
      </c>
    </row>
    <row r="6" spans="2:10" x14ac:dyDescent="0.25">
      <c r="F6" s="3" t="s">
        <v>15</v>
      </c>
      <c r="G6" s="7">
        <f>SUMIFS(tCaixa[Valor],tCaixa[Movimento],"Entrada")</f>
        <v>17915</v>
      </c>
    </row>
    <row r="7" spans="2:10" x14ac:dyDescent="0.25">
      <c r="F7" s="4" t="s">
        <v>16</v>
      </c>
      <c r="G7" s="8">
        <f>SUMIFS(tCaixa[Valor],tCaixa[Movimento],"Saída")</f>
        <v>-9735</v>
      </c>
    </row>
    <row r="8" spans="2:10" x14ac:dyDescent="0.25">
      <c r="F8" s="9" t="s">
        <v>17</v>
      </c>
      <c r="G8" s="10">
        <f>G5+G6-G7</f>
        <v>28150</v>
      </c>
    </row>
    <row r="9" spans="2:10" x14ac:dyDescent="0.25">
      <c r="B9" t="s">
        <v>18</v>
      </c>
    </row>
    <row r="10" spans="2:10" x14ac:dyDescent="0.25">
      <c r="B10" s="13" t="str" cm="1">
        <f t="array" ref="B10">HYPERLINK("#"&amp;lProximalinha,"Última linha")</f>
        <v>Última linha</v>
      </c>
    </row>
    <row r="11" spans="2:10" x14ac:dyDescent="0.25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17</v>
      </c>
    </row>
    <row r="12" spans="2:10" x14ac:dyDescent="0.25">
      <c r="B12" s="5">
        <v>45841</v>
      </c>
      <c r="C12" t="s">
        <v>6</v>
      </c>
      <c r="D12" t="s">
        <v>8</v>
      </c>
      <c r="E12" t="s">
        <v>25</v>
      </c>
      <c r="F12" s="11">
        <v>50</v>
      </c>
      <c r="G12" s="12">
        <f>IF(ROW()=ROW($G$12), $G$5 + F12, G11 + F12)</f>
        <v>550</v>
      </c>
      <c r="I12" t="s">
        <v>24</v>
      </c>
    </row>
    <row r="13" spans="2:10" x14ac:dyDescent="0.25">
      <c r="B13" s="5">
        <v>45842</v>
      </c>
      <c r="C13" t="s">
        <v>6</v>
      </c>
      <c r="D13" t="s">
        <v>7</v>
      </c>
      <c r="E13" t="s">
        <v>26</v>
      </c>
      <c r="F13" s="11">
        <v>-1200</v>
      </c>
      <c r="G13" s="12">
        <f>tCaixa[[#This Row],[Valor]] + G12</f>
        <v>-650</v>
      </c>
      <c r="I13" t="str">
        <f>"Caixa!B"&amp;COUNTA(tCaixa[Data])+ROW(tCaixa[[#Headers],[Data]])+1</f>
        <v>Caixa!B51</v>
      </c>
      <c r="J13" t="s">
        <v>63</v>
      </c>
    </row>
    <row r="14" spans="2:10" x14ac:dyDescent="0.25">
      <c r="B14" s="5">
        <v>45843</v>
      </c>
      <c r="C14" t="s">
        <v>2</v>
      </c>
      <c r="D14" t="s">
        <v>3</v>
      </c>
      <c r="E14" t="s">
        <v>27</v>
      </c>
      <c r="F14" s="11">
        <v>280</v>
      </c>
      <c r="G14" s="12">
        <f>tCaixa[[#This Row],[Valor]] + G13</f>
        <v>-370</v>
      </c>
    </row>
    <row r="15" spans="2:10" x14ac:dyDescent="0.25">
      <c r="B15" s="5">
        <v>45844</v>
      </c>
      <c r="C15" t="s">
        <v>6</v>
      </c>
      <c r="D15" t="s">
        <v>9</v>
      </c>
      <c r="E15" t="s">
        <v>28</v>
      </c>
      <c r="F15" s="11">
        <v>-300</v>
      </c>
      <c r="G15" s="12">
        <f>tCaixa[[#This Row],[Valor]] + G14</f>
        <v>-670</v>
      </c>
    </row>
    <row r="16" spans="2:10" x14ac:dyDescent="0.25">
      <c r="B16" s="5">
        <v>45845</v>
      </c>
      <c r="C16" t="s">
        <v>2</v>
      </c>
      <c r="D16" t="s">
        <v>5</v>
      </c>
      <c r="E16" t="s">
        <v>29</v>
      </c>
      <c r="F16" s="11">
        <v>25</v>
      </c>
      <c r="G16" s="12">
        <f>tCaixa[[#This Row],[Valor]] + G15</f>
        <v>-645</v>
      </c>
    </row>
    <row r="17" spans="2:7" x14ac:dyDescent="0.25">
      <c r="B17" s="5">
        <v>45846</v>
      </c>
      <c r="C17" t="s">
        <v>6</v>
      </c>
      <c r="D17" t="s">
        <v>10</v>
      </c>
      <c r="E17" t="s">
        <v>30</v>
      </c>
      <c r="F17" s="11">
        <v>-1200</v>
      </c>
      <c r="G17" s="12">
        <f>tCaixa[[#This Row],[Valor]] + G16</f>
        <v>-1845</v>
      </c>
    </row>
    <row r="18" spans="2:7" x14ac:dyDescent="0.25">
      <c r="B18" s="5">
        <v>45847</v>
      </c>
      <c r="C18" t="s">
        <v>2</v>
      </c>
      <c r="D18" t="s">
        <v>3</v>
      </c>
      <c r="E18" t="s">
        <v>31</v>
      </c>
      <c r="F18" s="11">
        <v>350</v>
      </c>
      <c r="G18" s="12">
        <f>tCaixa[[#This Row],[Valor]] + G17</f>
        <v>-1495</v>
      </c>
    </row>
    <row r="19" spans="2:7" x14ac:dyDescent="0.25">
      <c r="B19" s="5">
        <v>45848</v>
      </c>
      <c r="C19" t="s">
        <v>6</v>
      </c>
      <c r="D19" t="s">
        <v>12</v>
      </c>
      <c r="E19" t="s">
        <v>32</v>
      </c>
      <c r="F19" s="11">
        <v>-180</v>
      </c>
      <c r="G19" s="12">
        <f>tCaixa[[#This Row],[Valor]] + G18</f>
        <v>-1675</v>
      </c>
    </row>
    <row r="20" spans="2:7" x14ac:dyDescent="0.25">
      <c r="B20" s="5">
        <v>45849</v>
      </c>
      <c r="C20" t="s">
        <v>2</v>
      </c>
      <c r="D20" t="s">
        <v>4</v>
      </c>
      <c r="E20" t="s">
        <v>33</v>
      </c>
      <c r="F20" s="11">
        <v>2000</v>
      </c>
      <c r="G20" s="12">
        <f>tCaixa[[#This Row],[Valor]] + G19</f>
        <v>325</v>
      </c>
    </row>
    <row r="21" spans="2:7" x14ac:dyDescent="0.25">
      <c r="B21" s="5">
        <v>45850</v>
      </c>
      <c r="C21" t="s">
        <v>6</v>
      </c>
      <c r="D21" t="s">
        <v>13</v>
      </c>
      <c r="E21" t="s">
        <v>34</v>
      </c>
      <c r="F21" s="11">
        <v>-140</v>
      </c>
      <c r="G21" s="12">
        <f>tCaixa[[#This Row],[Valor]] + G20</f>
        <v>185</v>
      </c>
    </row>
    <row r="22" spans="2:7" x14ac:dyDescent="0.25">
      <c r="B22" s="5">
        <v>45851</v>
      </c>
      <c r="C22" t="s">
        <v>2</v>
      </c>
      <c r="D22" t="s">
        <v>3</v>
      </c>
      <c r="E22" t="s">
        <v>35</v>
      </c>
      <c r="F22" s="11">
        <v>780</v>
      </c>
      <c r="G22" s="12">
        <f>tCaixa[[#This Row],[Valor]] + G21</f>
        <v>965</v>
      </c>
    </row>
    <row r="23" spans="2:7" x14ac:dyDescent="0.25">
      <c r="B23" s="5">
        <v>45852</v>
      </c>
      <c r="C23" t="s">
        <v>6</v>
      </c>
      <c r="D23" t="s">
        <v>8</v>
      </c>
      <c r="E23" t="s">
        <v>36</v>
      </c>
      <c r="F23" s="11">
        <v>-100</v>
      </c>
      <c r="G23" s="12">
        <f>tCaixa[[#This Row],[Valor]] + G22</f>
        <v>865</v>
      </c>
    </row>
    <row r="24" spans="2:7" x14ac:dyDescent="0.25">
      <c r="B24" s="5">
        <v>45853</v>
      </c>
      <c r="C24" t="s">
        <v>2</v>
      </c>
      <c r="D24" t="s">
        <v>5</v>
      </c>
      <c r="E24" t="s">
        <v>37</v>
      </c>
      <c r="F24" s="11">
        <v>18</v>
      </c>
      <c r="G24" s="12">
        <f>tCaixa[[#This Row],[Valor]] + G23</f>
        <v>883</v>
      </c>
    </row>
    <row r="25" spans="2:7" x14ac:dyDescent="0.25">
      <c r="B25" s="5">
        <v>45854</v>
      </c>
      <c r="C25" t="s">
        <v>6</v>
      </c>
      <c r="D25" t="s">
        <v>7</v>
      </c>
      <c r="E25" t="s">
        <v>38</v>
      </c>
      <c r="F25" s="11">
        <v>-300</v>
      </c>
      <c r="G25" s="12">
        <f>tCaixa[[#This Row],[Valor]] + G24</f>
        <v>583</v>
      </c>
    </row>
    <row r="26" spans="2:7" x14ac:dyDescent="0.25">
      <c r="B26" s="5">
        <v>45855</v>
      </c>
      <c r="C26" t="s">
        <v>2</v>
      </c>
      <c r="D26" t="s">
        <v>3</v>
      </c>
      <c r="E26" t="s">
        <v>39</v>
      </c>
      <c r="F26" s="11">
        <v>220</v>
      </c>
      <c r="G26" s="12">
        <f>tCaixa[[#This Row],[Valor]] + G25</f>
        <v>803</v>
      </c>
    </row>
    <row r="27" spans="2:7" x14ac:dyDescent="0.25">
      <c r="B27" s="5">
        <v>45856</v>
      </c>
      <c r="C27" t="s">
        <v>6</v>
      </c>
      <c r="D27" t="s">
        <v>9</v>
      </c>
      <c r="E27" t="s">
        <v>40</v>
      </c>
      <c r="F27" s="11">
        <v>-310</v>
      </c>
      <c r="G27" s="12">
        <f>tCaixa[[#This Row],[Valor]] + G26</f>
        <v>493</v>
      </c>
    </row>
    <row r="28" spans="2:7" x14ac:dyDescent="0.25">
      <c r="B28" s="5">
        <v>45857</v>
      </c>
      <c r="C28" t="s">
        <v>6</v>
      </c>
      <c r="D28" t="s">
        <v>11</v>
      </c>
      <c r="E28" t="s">
        <v>41</v>
      </c>
      <c r="F28" s="11">
        <v>-90</v>
      </c>
      <c r="G28" s="12">
        <f>tCaixa[[#This Row],[Valor]] + G27</f>
        <v>403</v>
      </c>
    </row>
    <row r="29" spans="2:7" x14ac:dyDescent="0.25">
      <c r="B29" s="5">
        <v>45858</v>
      </c>
      <c r="C29" t="s">
        <v>2</v>
      </c>
      <c r="D29" t="s">
        <v>4</v>
      </c>
      <c r="E29" t="s">
        <v>42</v>
      </c>
      <c r="F29" s="11">
        <v>3500</v>
      </c>
      <c r="G29" s="12">
        <f>tCaixa[[#This Row],[Valor]] + G28</f>
        <v>3903</v>
      </c>
    </row>
    <row r="30" spans="2:7" x14ac:dyDescent="0.25">
      <c r="B30" s="5">
        <v>45859</v>
      </c>
      <c r="C30" t="s">
        <v>6</v>
      </c>
      <c r="D30" t="s">
        <v>7</v>
      </c>
      <c r="E30" t="s">
        <v>43</v>
      </c>
      <c r="F30" s="11">
        <v>-980</v>
      </c>
      <c r="G30" s="12">
        <f>tCaixa[[#This Row],[Valor]] + G29</f>
        <v>2923</v>
      </c>
    </row>
    <row r="31" spans="2:7" x14ac:dyDescent="0.25">
      <c r="B31" s="5">
        <v>45860</v>
      </c>
      <c r="C31" t="s">
        <v>2</v>
      </c>
      <c r="D31" t="s">
        <v>3</v>
      </c>
      <c r="E31" t="s">
        <v>44</v>
      </c>
      <c r="F31" s="11">
        <v>560</v>
      </c>
      <c r="G31" s="12">
        <f>tCaixa[[#This Row],[Valor]] + G30</f>
        <v>3483</v>
      </c>
    </row>
    <row r="32" spans="2:7" x14ac:dyDescent="0.25">
      <c r="B32" s="5">
        <v>45861</v>
      </c>
      <c r="C32" t="s">
        <v>6</v>
      </c>
      <c r="D32" t="s">
        <v>8</v>
      </c>
      <c r="E32" t="s">
        <v>45</v>
      </c>
      <c r="F32" s="11">
        <v>-200</v>
      </c>
      <c r="G32" s="12">
        <f>tCaixa[[#This Row],[Valor]] + G31</f>
        <v>3283</v>
      </c>
    </row>
    <row r="33" spans="2:7" x14ac:dyDescent="0.25">
      <c r="B33" s="5">
        <v>45862</v>
      </c>
      <c r="C33" t="s">
        <v>2</v>
      </c>
      <c r="D33" t="s">
        <v>3</v>
      </c>
      <c r="E33" t="s">
        <v>46</v>
      </c>
      <c r="F33" s="11">
        <v>120</v>
      </c>
      <c r="G33" s="12">
        <f>tCaixa[[#This Row],[Valor]] + G32</f>
        <v>3403</v>
      </c>
    </row>
    <row r="34" spans="2:7" x14ac:dyDescent="0.25">
      <c r="B34" s="5">
        <v>45863</v>
      </c>
      <c r="C34" t="s">
        <v>6</v>
      </c>
      <c r="D34" t="s">
        <v>10</v>
      </c>
      <c r="E34" t="s">
        <v>47</v>
      </c>
      <c r="F34" s="11">
        <v>-1200</v>
      </c>
      <c r="G34" s="12">
        <f>tCaixa[[#This Row],[Valor]] + G33</f>
        <v>2203</v>
      </c>
    </row>
    <row r="35" spans="2:7" x14ac:dyDescent="0.25">
      <c r="B35" s="5">
        <v>45864</v>
      </c>
      <c r="C35" t="s">
        <v>2</v>
      </c>
      <c r="D35" t="s">
        <v>3</v>
      </c>
      <c r="E35" t="s">
        <v>48</v>
      </c>
      <c r="F35" s="11">
        <v>640</v>
      </c>
      <c r="G35" s="12">
        <f>tCaixa[[#This Row],[Valor]] + G34</f>
        <v>2843</v>
      </c>
    </row>
    <row r="36" spans="2:7" x14ac:dyDescent="0.25">
      <c r="B36" s="5">
        <v>45865</v>
      </c>
      <c r="C36" t="s">
        <v>6</v>
      </c>
      <c r="D36" t="s">
        <v>9</v>
      </c>
      <c r="E36" t="s">
        <v>49</v>
      </c>
      <c r="F36" s="11">
        <v>-290</v>
      </c>
      <c r="G36" s="12">
        <f>tCaixa[[#This Row],[Valor]] + G35</f>
        <v>2553</v>
      </c>
    </row>
    <row r="37" spans="2:7" x14ac:dyDescent="0.25">
      <c r="B37" s="5">
        <v>45866</v>
      </c>
      <c r="C37" t="s">
        <v>6</v>
      </c>
      <c r="D37" t="s">
        <v>12</v>
      </c>
      <c r="E37" t="s">
        <v>50</v>
      </c>
      <c r="F37" s="11">
        <v>-185</v>
      </c>
      <c r="G37" s="12">
        <f>tCaixa[[#This Row],[Valor]] + G36</f>
        <v>2368</v>
      </c>
    </row>
    <row r="38" spans="2:7" x14ac:dyDescent="0.25">
      <c r="B38" s="5">
        <v>45867</v>
      </c>
      <c r="C38" t="s">
        <v>2</v>
      </c>
      <c r="D38" t="s">
        <v>4</v>
      </c>
      <c r="E38" t="s">
        <v>51</v>
      </c>
      <c r="F38" s="11">
        <v>4800</v>
      </c>
      <c r="G38" s="12">
        <f>tCaixa[[#This Row],[Valor]] + G37</f>
        <v>7168</v>
      </c>
    </row>
    <row r="39" spans="2:7" x14ac:dyDescent="0.25">
      <c r="B39" s="5">
        <v>45868</v>
      </c>
      <c r="C39" t="s">
        <v>6</v>
      </c>
      <c r="D39" t="s">
        <v>7</v>
      </c>
      <c r="E39" t="s">
        <v>52</v>
      </c>
      <c r="F39" s="11">
        <v>-2100</v>
      </c>
      <c r="G39" s="12">
        <f>tCaixa[[#This Row],[Valor]] + G38</f>
        <v>5068</v>
      </c>
    </row>
    <row r="40" spans="2:7" x14ac:dyDescent="0.25">
      <c r="B40" s="5">
        <v>45869</v>
      </c>
      <c r="C40" t="s">
        <v>2</v>
      </c>
      <c r="D40" t="s">
        <v>5</v>
      </c>
      <c r="E40" t="s">
        <v>53</v>
      </c>
      <c r="F40" s="11">
        <v>60</v>
      </c>
      <c r="G40" s="12">
        <f>tCaixa[[#This Row],[Valor]] + G39</f>
        <v>5128</v>
      </c>
    </row>
    <row r="41" spans="2:7" x14ac:dyDescent="0.25">
      <c r="B41" s="5">
        <v>45870</v>
      </c>
      <c r="C41" t="s">
        <v>6</v>
      </c>
      <c r="D41" t="s">
        <v>11</v>
      </c>
      <c r="E41" t="s">
        <v>54</v>
      </c>
      <c r="F41" s="11">
        <v>-95</v>
      </c>
      <c r="G41" s="12">
        <f>tCaixa[[#This Row],[Valor]] + G40</f>
        <v>5033</v>
      </c>
    </row>
    <row r="42" spans="2:7" x14ac:dyDescent="0.25">
      <c r="B42" s="5">
        <v>45871</v>
      </c>
      <c r="C42" t="s">
        <v>2</v>
      </c>
      <c r="D42" t="s">
        <v>3</v>
      </c>
      <c r="E42" t="s">
        <v>55</v>
      </c>
      <c r="F42" s="11">
        <v>480</v>
      </c>
      <c r="G42" s="12">
        <f>tCaixa[[#This Row],[Valor]] + G41</f>
        <v>5513</v>
      </c>
    </row>
    <row r="43" spans="2:7" x14ac:dyDescent="0.25">
      <c r="B43" s="5">
        <v>45872</v>
      </c>
      <c r="C43" t="s">
        <v>6</v>
      </c>
      <c r="D43" t="s">
        <v>13</v>
      </c>
      <c r="E43" t="s">
        <v>56</v>
      </c>
      <c r="F43" s="11">
        <v>-145</v>
      </c>
      <c r="G43" s="12">
        <f>tCaixa[[#This Row],[Valor]] + G42</f>
        <v>5368</v>
      </c>
    </row>
    <row r="44" spans="2:7" x14ac:dyDescent="0.25">
      <c r="B44" s="5">
        <v>45873</v>
      </c>
      <c r="C44" t="s">
        <v>2</v>
      </c>
      <c r="D44" t="s">
        <v>3</v>
      </c>
      <c r="E44" t="s">
        <v>57</v>
      </c>
      <c r="F44" s="11">
        <v>360</v>
      </c>
      <c r="G44" s="12">
        <f>tCaixa[[#This Row],[Valor]] + G43</f>
        <v>5728</v>
      </c>
    </row>
    <row r="45" spans="2:7" x14ac:dyDescent="0.25">
      <c r="B45" s="5">
        <v>45874</v>
      </c>
      <c r="C45" t="s">
        <v>6</v>
      </c>
      <c r="D45" t="s">
        <v>9</v>
      </c>
      <c r="E45" t="s">
        <v>40</v>
      </c>
      <c r="F45" s="11">
        <v>-320</v>
      </c>
      <c r="G45" s="12">
        <f>tCaixa[[#This Row],[Valor]] + G44</f>
        <v>5408</v>
      </c>
    </row>
    <row r="46" spans="2:7" x14ac:dyDescent="0.25">
      <c r="B46" s="5">
        <v>45875</v>
      </c>
      <c r="C46" t="s">
        <v>2</v>
      </c>
      <c r="D46" t="s">
        <v>4</v>
      </c>
      <c r="E46" t="s">
        <v>58</v>
      </c>
      <c r="F46" s="11">
        <v>2200</v>
      </c>
      <c r="G46" s="12">
        <f>tCaixa[[#This Row],[Valor]] + G45</f>
        <v>7608</v>
      </c>
    </row>
    <row r="47" spans="2:7" x14ac:dyDescent="0.25">
      <c r="B47" s="5">
        <v>45876</v>
      </c>
      <c r="C47" t="s">
        <v>6</v>
      </c>
      <c r="D47" t="s">
        <v>8</v>
      </c>
      <c r="E47" t="s">
        <v>59</v>
      </c>
      <c r="F47" s="11">
        <v>-80</v>
      </c>
      <c r="G47" s="12">
        <f>tCaixa[[#This Row],[Valor]] + G46</f>
        <v>7528</v>
      </c>
    </row>
    <row r="48" spans="2:7" x14ac:dyDescent="0.25">
      <c r="B48" s="5">
        <v>45877</v>
      </c>
      <c r="C48" t="s">
        <v>2</v>
      </c>
      <c r="D48" t="s">
        <v>5</v>
      </c>
      <c r="E48" t="s">
        <v>60</v>
      </c>
      <c r="F48" s="11">
        <v>22</v>
      </c>
      <c r="G48" s="12">
        <f>tCaixa[[#This Row],[Valor]] + G47</f>
        <v>7550</v>
      </c>
    </row>
    <row r="49" spans="2:7" x14ac:dyDescent="0.25">
      <c r="B49" s="5">
        <v>45878</v>
      </c>
      <c r="C49" t="s">
        <v>6</v>
      </c>
      <c r="D49" t="s">
        <v>7</v>
      </c>
      <c r="E49" t="s">
        <v>61</v>
      </c>
      <c r="F49" s="11">
        <v>-370</v>
      </c>
      <c r="G49" s="12">
        <f>tCaixa[[#This Row],[Valor]] + G48</f>
        <v>7180</v>
      </c>
    </row>
    <row r="50" spans="2:7" x14ac:dyDescent="0.25">
      <c r="B50" s="5">
        <v>45879</v>
      </c>
      <c r="C50" t="s">
        <v>2</v>
      </c>
      <c r="D50" t="s">
        <v>3</v>
      </c>
      <c r="E50" t="s">
        <v>62</v>
      </c>
      <c r="F50" s="11">
        <v>1500</v>
      </c>
      <c r="G50" s="12">
        <f>tCaixa[[#This Row],[Valor]] + G49</f>
        <v>8680</v>
      </c>
    </row>
    <row r="56" spans="2:7" x14ac:dyDescent="0.25">
      <c r="F56" s="11"/>
    </row>
  </sheetData>
  <conditionalFormatting sqref="F12:F50">
    <cfRule type="expression" dxfId="1" priority="2">
      <formula>$C12="Saída"</formula>
    </cfRule>
  </conditionalFormatting>
  <conditionalFormatting sqref="G12:G50">
    <cfRule type="cellIs" dxfId="0" priority="1" operator="lessThan">
      <formula>0</formula>
    </cfRule>
  </conditionalFormatting>
  <dataValidations disablePrompts="1" count="2">
    <dataValidation type="list" allowBlank="1" showInputMessage="1" showErrorMessage="1" sqref="C12:C50" xr:uid="{0B0F688A-ED79-48CB-803B-66D7E7C63781}">
      <formula1>"Entrada,Saída"</formula1>
    </dataValidation>
    <dataValidation type="list" allowBlank="1" showInputMessage="1" showErrorMessage="1" sqref="D12:D50" xr:uid="{6A0F2038-3BEF-4C8E-985F-BC793A86C8BE}">
      <formula1>INDIRECT($C12)</formula1>
    </dataValidation>
  </dataValidations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showGridLines="0" zoomScaleNormal="100" workbookViewId="0">
      <selection activeCell="D14" sqref="D14"/>
    </sheetView>
  </sheetViews>
  <sheetFormatPr defaultRowHeight="15" x14ac:dyDescent="0.25"/>
  <cols>
    <col min="2" max="2" width="14.7109375" customWidth="1"/>
    <col min="4" max="4" width="16.140625" customWidth="1"/>
  </cols>
  <sheetData>
    <row r="2" spans="2:8" s="1" customFormat="1" ht="44.25" customHeight="1" x14ac:dyDescent="0.25">
      <c r="B2" s="1" t="s">
        <v>0</v>
      </c>
    </row>
    <row r="9" spans="2:8" x14ac:dyDescent="0.25">
      <c r="B9" t="s">
        <v>1</v>
      </c>
    </row>
    <row r="11" spans="2:8" x14ac:dyDescent="0.25">
      <c r="B11" t="s">
        <v>2</v>
      </c>
      <c r="D11" t="s">
        <v>6</v>
      </c>
      <c r="H11" t="str" cm="1">
        <f t="array" ref="H11:H17">tSaida[Saída]</f>
        <v>Fornecedor</v>
      </c>
    </row>
    <row r="12" spans="2:8" x14ac:dyDescent="0.25">
      <c r="B12" t="s">
        <v>3</v>
      </c>
      <c r="D12" t="s">
        <v>7</v>
      </c>
      <c r="H12" t="str">
        <v>Serviço</v>
      </c>
    </row>
    <row r="13" spans="2:8" x14ac:dyDescent="0.25">
      <c r="B13" t="s">
        <v>4</v>
      </c>
      <c r="D13" t="s">
        <v>8</v>
      </c>
      <c r="H13" t="str">
        <v>Comissão</v>
      </c>
    </row>
    <row r="14" spans="2:8" x14ac:dyDescent="0.25">
      <c r="B14" t="s">
        <v>5</v>
      </c>
      <c r="D14" t="s">
        <v>9</v>
      </c>
      <c r="H14" t="str">
        <v>Aluguel</v>
      </c>
    </row>
    <row r="15" spans="2:8" x14ac:dyDescent="0.25">
      <c r="D15" t="s">
        <v>10</v>
      </c>
      <c r="H15" t="str">
        <v>Água</v>
      </c>
    </row>
    <row r="16" spans="2:8" x14ac:dyDescent="0.25">
      <c r="D16" t="s">
        <v>11</v>
      </c>
      <c r="H16" t="str">
        <v>Luz</v>
      </c>
    </row>
    <row r="17" spans="4:8" x14ac:dyDescent="0.25">
      <c r="D17" t="s">
        <v>12</v>
      </c>
      <c r="H17" t="str">
        <v>Internet</v>
      </c>
    </row>
    <row r="18" spans="4:8" x14ac:dyDescent="0.25">
      <c r="D18" t="s">
        <v>13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Caixa</vt:lpstr>
      <vt:lpstr>Configurações</vt:lpstr>
      <vt:lpstr>Entrada</vt:lpstr>
      <vt:lpstr>Saída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Lydson</dc:creator>
  <cp:lastModifiedBy>GARCIA Lydson</cp:lastModifiedBy>
  <dcterms:created xsi:type="dcterms:W3CDTF">2015-06-05T18:19:34Z</dcterms:created>
  <dcterms:modified xsi:type="dcterms:W3CDTF">2025-10-25T05:01:40Z</dcterms:modified>
</cp:coreProperties>
</file>